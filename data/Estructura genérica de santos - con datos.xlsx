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LOS H CONTRERAS\Documents\CARLOS\CATEQUESIS\"/>
    </mc:Choice>
  </mc:AlternateContent>
  <xr:revisionPtr revIDLastSave="0" documentId="13_ncr:1_{C6697141-D57F-40A7-AA1E-79ABFCDCF7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Santos" sheetId="1" r:id="rId1"/>
  </sheets>
  <definedNames>
    <definedName name="_xlnm._FilterDatabase" localSheetId="0" hidden="1">'Matriz Santos'!$A$2:$AS$102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03" i="1" l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AP102" i="1"/>
  <c r="K102" i="1"/>
  <c r="AP101" i="1"/>
  <c r="K101" i="1"/>
  <c r="AP100" i="1"/>
  <c r="K100" i="1"/>
  <c r="AP99" i="1"/>
  <c r="K99" i="1"/>
  <c r="AP98" i="1"/>
  <c r="K98" i="1"/>
  <c r="AP97" i="1"/>
  <c r="K97" i="1"/>
  <c r="AP96" i="1"/>
  <c r="K96" i="1"/>
  <c r="AP95" i="1"/>
  <c r="K95" i="1"/>
  <c r="AP94" i="1"/>
  <c r="K94" i="1"/>
  <c r="AP93" i="1"/>
  <c r="K93" i="1"/>
  <c r="AP92" i="1"/>
  <c r="K92" i="1"/>
  <c r="AP91" i="1"/>
  <c r="K91" i="1"/>
  <c r="AP90" i="1"/>
  <c r="K90" i="1"/>
  <c r="AP89" i="1"/>
  <c r="K89" i="1"/>
  <c r="AP88" i="1"/>
  <c r="K88" i="1"/>
  <c r="AP87" i="1"/>
  <c r="K87" i="1"/>
  <c r="AP86" i="1"/>
  <c r="K86" i="1"/>
  <c r="AP85" i="1"/>
  <c r="K85" i="1"/>
  <c r="AP84" i="1"/>
  <c r="K84" i="1"/>
  <c r="AP83" i="1"/>
  <c r="K83" i="1"/>
  <c r="AP82" i="1"/>
  <c r="K82" i="1"/>
  <c r="AP81" i="1"/>
  <c r="K81" i="1"/>
  <c r="AP80" i="1"/>
  <c r="K80" i="1"/>
  <c r="AP79" i="1"/>
  <c r="K79" i="1"/>
  <c r="AP78" i="1"/>
  <c r="K78" i="1"/>
  <c r="AP77" i="1"/>
  <c r="K77" i="1"/>
  <c r="AP76" i="1"/>
  <c r="K76" i="1"/>
  <c r="AP75" i="1"/>
  <c r="K75" i="1"/>
  <c r="AP74" i="1"/>
  <c r="K74" i="1"/>
  <c r="AP73" i="1"/>
  <c r="K73" i="1"/>
  <c r="AP72" i="1"/>
  <c r="K72" i="1"/>
  <c r="AP71" i="1"/>
  <c r="K71" i="1"/>
  <c r="AP70" i="1"/>
  <c r="K70" i="1"/>
  <c r="AP69" i="1"/>
  <c r="K69" i="1"/>
  <c r="AP68" i="1"/>
  <c r="K68" i="1"/>
  <c r="AP67" i="1"/>
  <c r="K67" i="1"/>
  <c r="AP66" i="1"/>
  <c r="K66" i="1"/>
  <c r="AP65" i="1"/>
  <c r="K65" i="1"/>
  <c r="AP64" i="1"/>
  <c r="K64" i="1"/>
  <c r="AP63" i="1"/>
  <c r="K63" i="1"/>
  <c r="AP62" i="1"/>
  <c r="K62" i="1"/>
  <c r="AP61" i="1"/>
  <c r="K61" i="1"/>
  <c r="AP60" i="1"/>
  <c r="K60" i="1"/>
  <c r="AP59" i="1"/>
  <c r="K59" i="1"/>
  <c r="AP58" i="1"/>
  <c r="K58" i="1"/>
  <c r="AP57" i="1"/>
  <c r="K57" i="1"/>
  <c r="AP56" i="1"/>
  <c r="K56" i="1"/>
  <c r="AP55" i="1"/>
  <c r="K55" i="1"/>
  <c r="AP54" i="1"/>
  <c r="K54" i="1"/>
  <c r="AP53" i="1"/>
  <c r="K53" i="1"/>
  <c r="AP52" i="1"/>
  <c r="K52" i="1"/>
  <c r="AP51" i="1"/>
  <c r="K51" i="1"/>
  <c r="AP50" i="1"/>
  <c r="K50" i="1"/>
  <c r="AP49" i="1"/>
  <c r="K49" i="1"/>
  <c r="AP48" i="1"/>
  <c r="K48" i="1"/>
  <c r="AP47" i="1"/>
  <c r="K47" i="1"/>
  <c r="AP46" i="1"/>
  <c r="K46" i="1"/>
  <c r="AP45" i="1"/>
  <c r="K45" i="1"/>
  <c r="AP44" i="1"/>
  <c r="K44" i="1"/>
  <c r="AP43" i="1"/>
  <c r="K43" i="1"/>
  <c r="AP42" i="1"/>
  <c r="K42" i="1"/>
  <c r="AP41" i="1"/>
  <c r="K41" i="1"/>
  <c r="AP40" i="1"/>
  <c r="K40" i="1"/>
  <c r="AP39" i="1"/>
  <c r="K39" i="1"/>
  <c r="AP38" i="1"/>
  <c r="K38" i="1"/>
  <c r="AP37" i="1"/>
  <c r="K37" i="1"/>
  <c r="AP36" i="1"/>
  <c r="K36" i="1"/>
  <c r="AP35" i="1"/>
  <c r="K35" i="1"/>
  <c r="AP34" i="1"/>
  <c r="K34" i="1"/>
  <c r="AP33" i="1"/>
  <c r="K33" i="1"/>
  <c r="AP32" i="1"/>
  <c r="K32" i="1"/>
  <c r="AP31" i="1"/>
  <c r="K31" i="1"/>
  <c r="AP30" i="1"/>
  <c r="K30" i="1"/>
  <c r="AP29" i="1"/>
  <c r="K29" i="1"/>
  <c r="AP28" i="1"/>
  <c r="K28" i="1"/>
  <c r="AP27" i="1"/>
  <c r="K27" i="1"/>
  <c r="AP26" i="1"/>
  <c r="K26" i="1"/>
  <c r="AP25" i="1"/>
  <c r="K25" i="1"/>
  <c r="AP24" i="1"/>
  <c r="K24" i="1"/>
  <c r="AP23" i="1"/>
  <c r="K23" i="1"/>
  <c r="AP22" i="1"/>
  <c r="K22" i="1"/>
  <c r="AP21" i="1"/>
  <c r="K21" i="1"/>
  <c r="AP20" i="1"/>
  <c r="K20" i="1"/>
  <c r="AP19" i="1"/>
  <c r="K19" i="1"/>
  <c r="AP18" i="1"/>
  <c r="K18" i="1"/>
  <c r="AP17" i="1"/>
  <c r="K17" i="1"/>
  <c r="AP16" i="1"/>
  <c r="K16" i="1"/>
  <c r="AP15" i="1"/>
  <c r="K15" i="1"/>
  <c r="AP14" i="1"/>
  <c r="K14" i="1"/>
  <c r="AP13" i="1"/>
  <c r="K13" i="1"/>
  <c r="AP12" i="1"/>
  <c r="K12" i="1"/>
  <c r="AP11" i="1"/>
  <c r="K11" i="1"/>
  <c r="AP10" i="1"/>
  <c r="K10" i="1"/>
  <c r="AP9" i="1"/>
  <c r="K9" i="1"/>
  <c r="AP8" i="1"/>
  <c r="K8" i="1"/>
  <c r="AP7" i="1"/>
  <c r="K7" i="1"/>
  <c r="AP6" i="1"/>
  <c r="K6" i="1"/>
  <c r="AP5" i="1"/>
  <c r="K5" i="1"/>
  <c r="AP4" i="1"/>
  <c r="K4" i="1"/>
  <c r="AP3" i="1"/>
  <c r="K3" i="1"/>
  <c r="AP103" i="1" l="1"/>
</calcChain>
</file>

<file path=xl/sharedStrings.xml><?xml version="1.0" encoding="utf-8"?>
<sst xmlns="http://schemas.openxmlformats.org/spreadsheetml/2006/main" count="865" uniqueCount="688">
  <si>
    <t>DATOS DESCRIPTIVOS</t>
  </si>
  <si>
    <t>MIEDO Y VALENTÍA</t>
  </si>
  <si>
    <t>CANSANCIO Y ESPERANZA</t>
  </si>
  <si>
    <t>BÚSQUEDA DE PROPÓSITO</t>
  </si>
  <si>
    <t>LIDERAZGO Y DECISIONES</t>
  </si>
  <si>
    <t>CONFLICTOS Y RECONCILIACIÓN</t>
  </si>
  <si>
    <t>SERVICIO Y AMOR POR LOS DEMAS</t>
  </si>
  <si>
    <t>CONOCIMIENTO, CIENCIA Y CREATIVIDAD</t>
  </si>
  <si>
    <t>TRANSFORMACIÓN PERSONAL</t>
  </si>
  <si>
    <t>CUIDADO DEL PLANETA Y DE LA VIDA</t>
  </si>
  <si>
    <t>CONTEMPLACIÓN Y ESPIRITUALIDAD</t>
  </si>
  <si>
    <t>Nombre</t>
  </si>
  <si>
    <t>Ciudad</t>
  </si>
  <si>
    <t>País</t>
  </si>
  <si>
    <t>Problema central</t>
  </si>
  <si>
    <t>Decisión clave</t>
  </si>
  <si>
    <t>Situación humana</t>
  </si>
  <si>
    <t>Virtud principal</t>
  </si>
  <si>
    <t>Frase corta</t>
  </si>
  <si>
    <t>Año nacimiento</t>
  </si>
  <si>
    <t>Año defunción</t>
  </si>
  <si>
    <t>Edad</t>
  </si>
  <si>
    <t>Miedo</t>
  </si>
  <si>
    <t>Valentía</t>
  </si>
  <si>
    <t>Confianza</t>
  </si>
  <si>
    <t>Cansancio</t>
  </si>
  <si>
    <t>Tristeza</t>
  </si>
  <si>
    <t>Esperanza</t>
  </si>
  <si>
    <t>Sentido de Vida</t>
  </si>
  <si>
    <t>Discernimiento</t>
  </si>
  <si>
    <t>Cambio de rumbo</t>
  </si>
  <si>
    <t>Liderazgo</t>
  </si>
  <si>
    <t>Autoridad</t>
  </si>
  <si>
    <t>Decisiones difíciles</t>
  </si>
  <si>
    <t>Conflicto</t>
  </si>
  <si>
    <t>Perdón</t>
  </si>
  <si>
    <t>Diálogo</t>
  </si>
  <si>
    <t>Compasión</t>
  </si>
  <si>
    <t>Pobreza</t>
  </si>
  <si>
    <t>Comunidad</t>
  </si>
  <si>
    <t>Educación</t>
  </si>
  <si>
    <t>Ciencia</t>
  </si>
  <si>
    <t>Sabiduría</t>
  </si>
  <si>
    <t>Enseñanza</t>
  </si>
  <si>
    <t>Conversión</t>
  </si>
  <si>
    <t>Humildad</t>
  </si>
  <si>
    <t>Salud de las personas</t>
  </si>
  <si>
    <t>Cuidado de la naturaleza</t>
  </si>
  <si>
    <t>Cuidado de animales</t>
  </si>
  <si>
    <t>Oración</t>
  </si>
  <si>
    <t>Contemplación</t>
  </si>
  <si>
    <t>Interioridad</t>
  </si>
  <si>
    <t>Total</t>
  </si>
  <si>
    <t>Agustín de Hipona</t>
  </si>
  <si>
    <t>Tagaste</t>
  </si>
  <si>
    <t>Argelia</t>
  </si>
  <si>
    <t>Búsqueda intensa de verdad y sentido en medio de ambición, dudas y vida desordenada</t>
  </si>
  <si>
    <t>Cambió de rumbo, abrazó la fe cristiana y dedicó su inteligencia al servicio de la Iglesia</t>
  </si>
  <si>
    <t>Búsqueda de sentido</t>
  </si>
  <si>
    <t>Transformó sus inquietudes en una vida dedicada a la verdad</t>
  </si>
  <si>
    <t>Alberto Magno</t>
  </si>
  <si>
    <t>Lauingen</t>
  </si>
  <si>
    <t>Alemania</t>
  </si>
  <si>
    <t>Integrar la búsqueda científica y filosófica con la fe en una época de tensiones intelectuales</t>
  </si>
  <si>
    <t>Estudió, enseñó y defendió que razón y fe podían dialogar</t>
  </si>
  <si>
    <t>Amor por el conocimiento</t>
  </si>
  <si>
    <t>Mostró que estudiar la creación también puede acercar a Dios</t>
  </si>
  <si>
    <t>Ambrosio de Milán</t>
  </si>
  <si>
    <t>Tréveris</t>
  </si>
  <si>
    <t>Asumir una responsabilidad eclesial inesperada en medio de conflictos políticos y religiosos</t>
  </si>
  <si>
    <t>Aceptó ser obispo y ejerció liderazgo con firmeza y prudencia</t>
  </si>
  <si>
    <t>Responsabilidad inesperada</t>
  </si>
  <si>
    <t>Aceptó dirigir cuando la comunidad necesitaba orientación</t>
  </si>
  <si>
    <t>Ana</t>
  </si>
  <si>
    <t>Jerusalén</t>
  </si>
  <si>
    <t>Israel</t>
  </si>
  <si>
    <t>Vivir la espera, la familia y la transmisión de la fe en la tradición cristiana</t>
  </si>
  <si>
    <t>Sostuvo una vida de fe familiar y acompañamiento espiritual</t>
  </si>
  <si>
    <t>Esperanza familiar</t>
  </si>
  <si>
    <t>Representa la paciencia y la fe que se transmiten en familia</t>
  </si>
  <si>
    <t>Por verificar</t>
  </si>
  <si>
    <t>Andrés</t>
  </si>
  <si>
    <t>Betsaida</t>
  </si>
  <si>
    <t>Dejar una vida conocida para seguir una misión nueva</t>
  </si>
  <si>
    <t>Siguió a Jesús y llevó a otros hacia Él</t>
  </si>
  <si>
    <t>Llamado y respuesta</t>
  </si>
  <si>
    <t>Disponibilidad</t>
  </si>
  <si>
    <t>Escuchó el llamado y caminó hacia una misión mayor</t>
  </si>
  <si>
    <t>Siglo I</t>
  </si>
  <si>
    <t>Ángela de Mérici</t>
  </si>
  <si>
    <t>Desenzano</t>
  </si>
  <si>
    <t>Italia</t>
  </si>
  <si>
    <t>Educar jóvenes mujeres en contextos limitados</t>
  </si>
  <si>
    <t>Fundó comunidades educativas femeninas</t>
  </si>
  <si>
    <t>Educación transformadora</t>
  </si>
  <si>
    <t>Servicio</t>
  </si>
  <si>
    <t>Educar también abre caminos de dignidad</t>
  </si>
  <si>
    <t>Aniceto</t>
  </si>
  <si>
    <t>Emesa</t>
  </si>
  <si>
    <t>Siria</t>
  </si>
  <si>
    <t>Guiar la Iglesia en tiempos de tensiones doctrinales</t>
  </si>
  <si>
    <t>Promovió unidad y continuidad comunitaria</t>
  </si>
  <si>
    <t>Construcción de unidad</t>
  </si>
  <si>
    <t>Prudencia</t>
  </si>
  <si>
    <t>La unidad también necesita paciencia</t>
  </si>
  <si>
    <t>Anselmo de Canterbury</t>
  </si>
  <si>
    <t>Aosta</t>
  </si>
  <si>
    <t>Buscar una fe racional en tiempos de tensión intelectual</t>
  </si>
  <si>
    <t>Defendió el diálogo entre razón y fe</t>
  </si>
  <si>
    <t>Búsqueda intelectual</t>
  </si>
  <si>
    <t>La razón también puede buscar a Dios</t>
  </si>
  <si>
    <t>Antonio de Padua</t>
  </si>
  <si>
    <t>Lisboa</t>
  </si>
  <si>
    <t>Portugal</t>
  </si>
  <si>
    <t>Buscar una vida radical de servicio, predicación y pobreza evangélica</t>
  </si>
  <si>
    <t>Se unió a los franciscanos y dedicó su vida a enseñar y predicar</t>
  </si>
  <si>
    <t>Entrega a una misión</t>
  </si>
  <si>
    <t>Puso su palabra al servicio de quienes necesitaban orientación</t>
  </si>
  <si>
    <t>Atanasio</t>
  </si>
  <si>
    <t>Alejandría</t>
  </si>
  <si>
    <t>Egipto</t>
  </si>
  <si>
    <t>Defender sus convicciones en medio de disputas doctrinales y exilios</t>
  </si>
  <si>
    <t>Resistió presiones y mantuvo su posición teológica</t>
  </si>
  <si>
    <t>Fidelidad bajo presión</t>
  </si>
  <si>
    <t>Sostuvo su fe aun cuando defenderla le costó el exilio</t>
  </si>
  <si>
    <t>Basilio Magno</t>
  </si>
  <si>
    <t>Cesarea</t>
  </si>
  <si>
    <t>Turquía</t>
  </si>
  <si>
    <t>Responder a pobreza, crisis sociales y debates de fe</t>
  </si>
  <si>
    <t>Organizó obras de caridad y orientó la vida comunitaria</t>
  </si>
  <si>
    <t>Servicio organizado</t>
  </si>
  <si>
    <t>Unió pensamiento, comunidad y servicio a los más necesitados</t>
  </si>
  <si>
    <t>Beda el Venerable</t>
  </si>
  <si>
    <t>Monkwearmouth</t>
  </si>
  <si>
    <t>Inglaterra</t>
  </si>
  <si>
    <t>Preservar conocimiento en tiempos difíciles</t>
  </si>
  <si>
    <t>Dedicó su vida al estudio y enseñanza</t>
  </si>
  <si>
    <t>Disciplina intelectual</t>
  </si>
  <si>
    <t>Estudio</t>
  </si>
  <si>
    <t>Conservar el conocimiento también transforma el mundo</t>
  </si>
  <si>
    <t>Benito de Nursia</t>
  </si>
  <si>
    <t>Nursia</t>
  </si>
  <si>
    <t>Buscar orden espiritual en medio de una sociedad inestable</t>
  </si>
  <si>
    <t>Fundó una forma de vida monástica basada en oración, trabajo y disciplina</t>
  </si>
  <si>
    <t>Necesidad de orden interior</t>
  </si>
  <si>
    <t>Disciplina</t>
  </si>
  <si>
    <t>Convirtió la vida cotidiana en camino de oración y trabajo</t>
  </si>
  <si>
    <t>Bernadette Soubirous</t>
  </si>
  <si>
    <t>Lourdes</t>
  </si>
  <si>
    <t>Francia</t>
  </si>
  <si>
    <t>Ser pobre, enferma y poco creída frente a una experiencia espiritual profunda</t>
  </si>
  <si>
    <t>Mantuvo con sencillez su testimonio pese a dudas y presiones</t>
  </si>
  <si>
    <t>Fragilidad y confianza</t>
  </si>
  <si>
    <t>Su sencillez sostuvo una experiencia que otros no entendían</t>
  </si>
  <si>
    <t>Bernardo de Claraval</t>
  </si>
  <si>
    <t>Fontaines</t>
  </si>
  <si>
    <t>Orientar espiritualmente a personas e instituciones en tiempos complejos</t>
  </si>
  <si>
    <t>Asumió una vida monástica influyente y de profunda contemplación</t>
  </si>
  <si>
    <t>Búsqueda de interioridad</t>
  </si>
  <si>
    <t>Su liderazgo nació del silencio y la vida interior</t>
  </si>
  <si>
    <t>Blas</t>
  </si>
  <si>
    <t>Sebaste</t>
  </si>
  <si>
    <t>Armenia</t>
  </si>
  <si>
    <t>Mantener su fe en medio de persecución</t>
  </si>
  <si>
    <t>Aceptó el riesgo antes que negar sus convicciones</t>
  </si>
  <si>
    <t>Riesgo y fidelidad</t>
  </si>
  <si>
    <t>La fidelidad puede sostenerse incluso bajo amenaza</t>
  </si>
  <si>
    <t>Brígida de Suecia</t>
  </si>
  <si>
    <t>Uppland</t>
  </si>
  <si>
    <t>Suecia</t>
  </si>
  <si>
    <t>Promover reforma espiritual y paz</t>
  </si>
  <si>
    <t>Influyó espiritualmente en líderes y comunidades</t>
  </si>
  <si>
    <t>Responsabilidad social</t>
  </si>
  <si>
    <t>La espiritualidad también puede orientar sociedades</t>
  </si>
  <si>
    <t>Buenaventura</t>
  </si>
  <si>
    <t>Bagnoregio</t>
  </si>
  <si>
    <t>Integrar estudio, espiritualidad y liderazgo</t>
  </si>
  <si>
    <t>Orientó comunidades desde la sabiduría y la contemplación</t>
  </si>
  <si>
    <t>Búsqueda de equilibrio</t>
  </si>
  <si>
    <t>Pensar y contemplar pueden caminar juntos</t>
  </si>
  <si>
    <t>Camilo de Lelis</t>
  </si>
  <si>
    <t>Bucchianico</t>
  </si>
  <si>
    <t>Luchar con heridas personales y luego encontrarse con el sufrimiento de los enfermos</t>
  </si>
  <si>
    <t>Cambió de vida y fundó una comunidad dedicada al cuidado de enfermos</t>
  </si>
  <si>
    <t>Dolor transformado en servicio</t>
  </si>
  <si>
    <t>Convirtió sus heridas en cuidado para otros</t>
  </si>
  <si>
    <t>Canuto</t>
  </si>
  <si>
    <t>Odense</t>
  </si>
  <si>
    <t>Dinamarca</t>
  </si>
  <si>
    <t>Gobernar con sentido de justicia y fe</t>
  </si>
  <si>
    <t>Promovió orden y responsabilidad social</t>
  </si>
  <si>
    <t>Autoridad ética</t>
  </si>
  <si>
    <t>Responsabilidad</t>
  </si>
  <si>
    <t>El liderazgo también implica servicio</t>
  </si>
  <si>
    <t>Catalina de Siena</t>
  </si>
  <si>
    <t>Siena</t>
  </si>
  <si>
    <t>Vivir una fuerte vocación espiritual en medio de conflictos eclesiales y políticos</t>
  </si>
  <si>
    <t>Intervino con valentía en asuntos de paz y reforma espiritual</t>
  </si>
  <si>
    <t>Coraje ante conflictos</t>
  </si>
  <si>
    <t>Su voz interior la llevó a hablar ante poderosos</t>
  </si>
  <si>
    <t>Catalina Labouré</t>
  </si>
  <si>
    <t>Fain-lès-Moutiers</t>
  </si>
  <si>
    <t>Vivir una misión sencilla y silenciosa</t>
  </si>
  <si>
    <t>Aceptó transmitir un mensaje espiritual</t>
  </si>
  <si>
    <t>Humildad cotidiana</t>
  </si>
  <si>
    <t>Las pequeñas acciones también dejan huella</t>
  </si>
  <si>
    <t>Cayetano</t>
  </si>
  <si>
    <t>Vicenza</t>
  </si>
  <si>
    <t>Responder a pobreza y crisis económicas</t>
  </si>
  <si>
    <t>Creó obras de ayuda y acompañamiento</t>
  </si>
  <si>
    <t>Solidaridad en crisis</t>
  </si>
  <si>
    <t>La esperanza también necesita organización</t>
  </si>
  <si>
    <t>Cecilia</t>
  </si>
  <si>
    <t>Roma</t>
  </si>
  <si>
    <t>Mantener la fe en persecución</t>
  </si>
  <si>
    <t>Perseveró pese al riesgo</t>
  </si>
  <si>
    <t>Fidelidad en dificultad</t>
  </si>
  <si>
    <t>La música y la fe pueden convivir</t>
  </si>
  <si>
    <t>Charles de Foucauld</t>
  </si>
  <si>
    <t>Estrasburgo</t>
  </si>
  <si>
    <t>Pasar de una vida de búsqueda dispersa a una existencia de fraternidad y silencio</t>
  </si>
  <si>
    <t>Eligió vivir pobremente entre otros pueblos como hermano universal</t>
  </si>
  <si>
    <t>Conversión y fraternidad</t>
  </si>
  <si>
    <t>Hizo de la presencia silenciosa una forma de amor</t>
  </si>
  <si>
    <t>Cipriano</t>
  </si>
  <si>
    <t>Cartago</t>
  </si>
  <si>
    <t>Túnez</t>
  </si>
  <si>
    <t>Guiar comunidades en tiempos de persecución</t>
  </si>
  <si>
    <t>Mantuvo liderazgo y diálogo bajo presión</t>
  </si>
  <si>
    <t>Conducción en crisis</t>
  </si>
  <si>
    <t>Fortaleza</t>
  </si>
  <si>
    <t>La comunidad necesita orientación incluso en el miedo</t>
  </si>
  <si>
    <t>Clara de Asís</t>
  </si>
  <si>
    <t>Asís</t>
  </si>
  <si>
    <t>Elegir una vida de pobreza y oración contra expectativas familiares y sociales</t>
  </si>
  <si>
    <t>Renunció a privilegios y fundó una comunidad contemplativa</t>
  </si>
  <si>
    <t>Libertad interior</t>
  </si>
  <si>
    <t>Pobreza evangélica</t>
  </si>
  <si>
    <t>Defendió una vida sencilla como expresión de libertad</t>
  </si>
  <si>
    <t>Cosme</t>
  </si>
  <si>
    <t>Egea</t>
  </si>
  <si>
    <t>Ejercer medicina gratuitamente</t>
  </si>
  <si>
    <t>Sirvió a enfermos sin buscar riqueza</t>
  </si>
  <si>
    <t>Servicio desinteresado</t>
  </si>
  <si>
    <t>Curar también puede ser una forma de amor</t>
  </si>
  <si>
    <t>Cristóbal</t>
  </si>
  <si>
    <t>Cananea</t>
  </si>
  <si>
    <t>Buscar sentido sirviendo a otros</t>
  </si>
  <si>
    <t>Transformó su fuerza en ayuda y protección</t>
  </si>
  <si>
    <t>Servicio con propósito</t>
  </si>
  <si>
    <t>La fuerza también puede proteger</t>
  </si>
  <si>
    <t>Damián</t>
  </si>
  <si>
    <t>La ciencia puede estar al servicio de la dignidad</t>
  </si>
  <si>
    <t>Damián de Molokai</t>
  </si>
  <si>
    <t>Tremelo</t>
  </si>
  <si>
    <t>Bélgica</t>
  </si>
  <si>
    <t>Acompañar enfermos aislados por lepra</t>
  </si>
  <si>
    <t>Vivió entre quienes eran excluidos</t>
  </si>
  <si>
    <t>Acompañamiento al sufrimiento</t>
  </si>
  <si>
    <t>Eligió quedarse donde otros huían</t>
  </si>
  <si>
    <t>Domingo de Guzmán</t>
  </si>
  <si>
    <t>Caleruega</t>
  </si>
  <si>
    <t>España</t>
  </si>
  <si>
    <t>Responder a confusiones religiosas y sociales con enseñanza y predicación</t>
  </si>
  <si>
    <t>Fundó una orden dedicada al estudio, la predicación y la verdad</t>
  </si>
  <si>
    <t>Necesidad de orientar</t>
  </si>
  <si>
    <t>Eligió convencer con la palabra y el testimonio</t>
  </si>
  <si>
    <t>Domingo Savio</t>
  </si>
  <si>
    <t>Riva presso Chieri</t>
  </si>
  <si>
    <t>Buscar santidad siendo joven</t>
  </si>
  <si>
    <t>Vivió con alegría y disciplina</t>
  </si>
  <si>
    <t>Juventud con propósito</t>
  </si>
  <si>
    <t>Alegría</t>
  </si>
  <si>
    <t>La juventud también puede transformar</t>
  </si>
  <si>
    <t>Edith Stein</t>
  </si>
  <si>
    <t>Breslavia</t>
  </si>
  <si>
    <t>Polonia</t>
  </si>
  <si>
    <t>Buscar la verdad filosófica y vivir persecución por su origen judío y su fe</t>
  </si>
  <si>
    <t>Abrazó la fe católica y permaneció fiel hasta el martirio</t>
  </si>
  <si>
    <t>Búsqueda de verdad y persecución</t>
  </si>
  <si>
    <t>Fidelidad</t>
  </si>
  <si>
    <t>Su inteligencia y su fe resistieron la violencia de su tiempo</t>
  </si>
  <si>
    <t>Eduardo el Confesor</t>
  </si>
  <si>
    <t>Islip</t>
  </si>
  <si>
    <t>Gobernar buscando paz y estabilidad</t>
  </si>
  <si>
    <t>Ejerció liderazgo con serenidad y justicia</t>
  </si>
  <si>
    <t>Responsabilidad política</t>
  </si>
  <si>
    <t>Paz</t>
  </si>
  <si>
    <t>La autoridad puede ejercerse con calma y equilibrio</t>
  </si>
  <si>
    <t>Efrén de Siria</t>
  </si>
  <si>
    <t>Nisibis</t>
  </si>
  <si>
    <t>Comunicar la fe de manera creativa</t>
  </si>
  <si>
    <t>Usó poesía y música para enseñar</t>
  </si>
  <si>
    <t>Creatividad espiritual</t>
  </si>
  <si>
    <t>Creatividad</t>
  </si>
  <si>
    <t>La belleza también puede enseñar</t>
  </si>
  <si>
    <t>Elena Guerra</t>
  </si>
  <si>
    <t>Lucca</t>
  </si>
  <si>
    <t>Promover renovación espiritual</t>
  </si>
  <si>
    <t>Impulsó oración y formación</t>
  </si>
  <si>
    <t>Renovación interior</t>
  </si>
  <si>
    <t>El cambio comienza en el interior</t>
  </si>
  <si>
    <t>Esteban</t>
  </si>
  <si>
    <t>Defender sus convicciones</t>
  </si>
  <si>
    <t>Mantuvo su testimonio pese al peligro</t>
  </si>
  <si>
    <t>Persecución</t>
  </si>
  <si>
    <t>La coherencia tiene costo</t>
  </si>
  <si>
    <t>Faustina Kowalska</t>
  </si>
  <si>
    <t>Glogowiec</t>
  </si>
  <si>
    <t>Vivir una misión espiritual interior poco comprendida</t>
  </si>
  <si>
    <t>Transmitió el mensaje de la misericordia desde la obediencia y la oración</t>
  </si>
  <si>
    <t>Confianza en medio de incomprensión</t>
  </si>
  <si>
    <t>Hizo de la confianza una forma de comunicar esperanza</t>
  </si>
  <si>
    <t>Felicidad</t>
  </si>
  <si>
    <t>Enfrentar persecución siendo madre</t>
  </si>
  <si>
    <t>Permaneció firme en su fe</t>
  </si>
  <si>
    <t>Dolor y esperanza</t>
  </si>
  <si>
    <t>La esperanza puede resistir incluso al miedo</t>
  </si>
  <si>
    <t>Felipe Neri</t>
  </si>
  <si>
    <t>Florencia</t>
  </si>
  <si>
    <t>Evangelizar una ciudad con alegría, cercanía y creatividad</t>
  </si>
  <si>
    <t>Creó espacios comunitarios de formación, oración y amistad</t>
  </si>
  <si>
    <t>Alegría compartida</t>
  </si>
  <si>
    <t>Mostró que la alegría también puede transformar comunidades</t>
  </si>
  <si>
    <t>Francisco de Asís</t>
  </si>
  <si>
    <t>Vacío interior frente a riqueza, guerra y prestigio social</t>
  </si>
  <si>
    <t>Renunció a privilegios y eligió pobreza, fraternidad y cuidado de la creación</t>
  </si>
  <si>
    <t>Búsqueda radical de sentido</t>
  </si>
  <si>
    <t>Descubrió fraternidad en las personas, los pobres y la creación</t>
  </si>
  <si>
    <t>Francisco Javier</t>
  </si>
  <si>
    <t>Javier</t>
  </si>
  <si>
    <t>Llevar una misión a culturas y territorios desconocidos</t>
  </si>
  <si>
    <t>Dejó su comodidad y viajó como misionero a Asia</t>
  </si>
  <si>
    <t>Aventura misionera</t>
  </si>
  <si>
    <t>Celo misionero</t>
  </si>
  <si>
    <t>Cruzó fronteras para compartir una convicción profunda</t>
  </si>
  <si>
    <t>Genoveva</t>
  </si>
  <si>
    <t>Nanterre</t>
  </si>
  <si>
    <t>Sostener esperanza en tiempos de invasión</t>
  </si>
  <si>
    <t>Animó a su comunidad a resistir</t>
  </si>
  <si>
    <t>Confianza colectiva</t>
  </si>
  <si>
    <t>Una comunidad unida puede resistir el miedo</t>
  </si>
  <si>
    <t>Gianna Beretta Molla</t>
  </si>
  <si>
    <t>Magenta</t>
  </si>
  <si>
    <t>Enfrentar una decisión médica compleja durante el embarazo</t>
  </si>
  <si>
    <t>Eligió proteger la vida de su hija aun con grave riesgo personal</t>
  </si>
  <si>
    <t>Decisión límite por amor</t>
  </si>
  <si>
    <t>Amor sacrificial</t>
  </si>
  <si>
    <t>Vivió la maternidad como entrega radical</t>
  </si>
  <si>
    <t>Giuseppe Moscati</t>
  </si>
  <si>
    <t>Benevento</t>
  </si>
  <si>
    <t>Ejercer la medicina con ética, ciencia y servicio a pobres y enfermos</t>
  </si>
  <si>
    <t>Puso su conocimiento médico al servicio de quienes más lo necesitaban</t>
  </si>
  <si>
    <t>Ciencia al servicio de la vida</t>
  </si>
  <si>
    <t>Caridad</t>
  </si>
  <si>
    <t>Hizo de la medicina una forma de compasión</t>
  </si>
  <si>
    <t>Gregorio de Nisa</t>
  </si>
  <si>
    <t>Capadocia</t>
  </si>
  <si>
    <t>Explicar la fe en tiempos de debate</t>
  </si>
  <si>
    <t>Escribió y enseñó profundamente</t>
  </si>
  <si>
    <t>Búsqueda de comprensión</t>
  </si>
  <si>
    <t>Pensar también puede ser una forma de fe</t>
  </si>
  <si>
    <t>Gregorio Magno</t>
  </si>
  <si>
    <t>Guiar a la Iglesia y a la ciudad en tiempos de crisis política y social</t>
  </si>
  <si>
    <t>Asumió liderazgo pastoral y administrativo con visión de servicio</t>
  </si>
  <si>
    <t>Lideró desde el servicio en una época difícil</t>
  </si>
  <si>
    <t>Hildegarda de Bingen</t>
  </si>
  <si>
    <t>Bermersheim</t>
  </si>
  <si>
    <t>Expresar su visión espiritual e intelectual en un mundo con pocas voces femeninas reconocidas</t>
  </si>
  <si>
    <t>Escribió, compuso, investigó y enseñó desde una mirada integral de la creación</t>
  </si>
  <si>
    <t>Creatividad y sabiduría</t>
  </si>
  <si>
    <t>Unió música, ciencia, naturaleza y contemplación</t>
  </si>
  <si>
    <t>Huberto</t>
  </si>
  <si>
    <t>Toulouse</t>
  </si>
  <si>
    <t>Transformar una vida superficial</t>
  </si>
  <si>
    <t>Cambió de rumbo tras una experiencia espiritual</t>
  </si>
  <si>
    <t>Cambio personal</t>
  </si>
  <si>
    <t>La naturaleza puede despertar preguntas profundas</t>
  </si>
  <si>
    <t>Ignacio de Loyola</t>
  </si>
  <si>
    <t>Azpeitia</t>
  </si>
  <si>
    <t>Reorientar su vida después de una herida y una crisis personal</t>
  </si>
  <si>
    <t>Transformó su ambición en discernimiento, misión y servicio</t>
  </si>
  <si>
    <t>Convirtió una herida en camino de propósito</t>
  </si>
  <si>
    <t>Inés</t>
  </si>
  <si>
    <t>Permanecer fiel siendo muy joven</t>
  </si>
  <si>
    <t>Defendió sus convicciones</t>
  </si>
  <si>
    <t>Fragilidad y valentía</t>
  </si>
  <si>
    <t>Pureza</t>
  </si>
  <si>
    <t>La juventud no impide la fortaleza</t>
  </si>
  <si>
    <t>Ireneo de Lyon</t>
  </si>
  <si>
    <t>Esmirna</t>
  </si>
  <si>
    <t>Defender unidad y enseñanza</t>
  </si>
  <si>
    <t>Promovió diálogo y claridad doctrinal</t>
  </si>
  <si>
    <t>La verdad también puede unir</t>
  </si>
  <si>
    <t>Isabel de Hungría</t>
  </si>
  <si>
    <t>Sárospatak</t>
  </si>
  <si>
    <t>Hungría</t>
  </si>
  <si>
    <t>Vivir la fe y la caridad siendo noble en medio de pobreza y sufrimiento social</t>
  </si>
  <si>
    <t>Usó sus recursos y posición para servir a los pobres y enfermos</t>
  </si>
  <si>
    <t>Solidaridad desde el privilegio</t>
  </si>
  <si>
    <t>Convirtió su posición social en servicio concreto</t>
  </si>
  <si>
    <t>Isidoro de Sevilla</t>
  </si>
  <si>
    <t>Cartagena</t>
  </si>
  <si>
    <t>Organizar y transmitir conocimiento</t>
  </si>
  <si>
    <t>Compiló saberes de su época</t>
  </si>
  <si>
    <t>Compartir conocimiento es servir</t>
  </si>
  <si>
    <t>Jerónimo</t>
  </si>
  <si>
    <t>Estridón</t>
  </si>
  <si>
    <t>Croacia</t>
  </si>
  <si>
    <t>Traducir y estudiar la Escritura con rigor en medio de tensiones personales e intelectuales</t>
  </si>
  <si>
    <t>Dedicó su vida al estudio, traducción y enseñanza bíblica</t>
  </si>
  <si>
    <t>Hizo del estudio una forma de servicio espiritual</t>
  </si>
  <si>
    <t>José</t>
  </si>
  <si>
    <t>Nazaret</t>
  </si>
  <si>
    <t>Proteger a su familia en medio de incertidumbre, pobreza y riesgo</t>
  </si>
  <si>
    <t>Actuó con confianza, silencio y responsabilidad</t>
  </si>
  <si>
    <t>Cuidado familiar</t>
  </si>
  <si>
    <t>Cuidó en silencio lo que se le confió</t>
  </si>
  <si>
    <t>Siglo I a. C.</t>
  </si>
  <si>
    <t>Josefina Bakhita</t>
  </si>
  <si>
    <t>Darfur</t>
  </si>
  <si>
    <t>Sudán</t>
  </si>
  <si>
    <t>Superar esclavitud y sufrimiento</t>
  </si>
  <si>
    <t>Transformó dolor en servicio y alegría</t>
  </si>
  <si>
    <t>Superación</t>
  </si>
  <si>
    <t>La dignidad humana puede renacer</t>
  </si>
  <si>
    <t>Juan Bautista de La Salle</t>
  </si>
  <si>
    <t>Reims</t>
  </si>
  <si>
    <t>Responder a la falta de educación de niños pobres en una sociedad desigual</t>
  </si>
  <si>
    <t>Organizó una comunidad dedicada a la educación popular y la formación de maestros</t>
  </si>
  <si>
    <t>Educación para la dignidad</t>
  </si>
  <si>
    <t>Transformó la escuela en camino de dignidad para los pobres</t>
  </si>
  <si>
    <t>Juan Bosco</t>
  </si>
  <si>
    <t>Castelnuovo</t>
  </si>
  <si>
    <t>Acompañar a jóvenes pobres y vulnerables en contextos de exclusión</t>
  </si>
  <si>
    <t>Creó obras educativas basadas en confianza, alegría y formación</t>
  </si>
  <si>
    <t>Educación para transformar</t>
  </si>
  <si>
    <t>Acompañamiento</t>
  </si>
  <si>
    <t>Vio futuro donde otros solo veían abandono</t>
  </si>
  <si>
    <t>Juan Crisóstomo</t>
  </si>
  <si>
    <t>Antioquía</t>
  </si>
  <si>
    <t>Predicar con fuerza contra abusos, desigualdades y poderes establecidos</t>
  </si>
  <si>
    <t>Mantuvo su palabra profética aunque enfrentó exilio y oposición</t>
  </si>
  <si>
    <t>Verdad frente al poder</t>
  </si>
  <si>
    <t>Su palabra incomodó porque defendía coherencia y justicia</t>
  </si>
  <si>
    <t>Juan de la Cruz</t>
  </si>
  <si>
    <t>Fontiveros</t>
  </si>
  <si>
    <t>Vivir persecución, prisión y oscuridad interior durante una reforma espiritual</t>
  </si>
  <si>
    <t>Perseveró en la contemplación y expresó su experiencia en poesía mística</t>
  </si>
  <si>
    <t>Oscuridad interior</t>
  </si>
  <si>
    <t>Perseverancia</t>
  </si>
  <si>
    <t>Convirtió la noche interior en poesía espiritual</t>
  </si>
  <si>
    <t>Juan María Vianney</t>
  </si>
  <si>
    <t>Dardilly</t>
  </si>
  <si>
    <t>Acompañar espiritualmente a personas sencillas</t>
  </si>
  <si>
    <t>Dedicó su vida a escuchar y orientar</t>
  </si>
  <si>
    <t>Servicio silencioso</t>
  </si>
  <si>
    <t>Escuchar también transforma vidas</t>
  </si>
  <si>
    <t>Juan Pablo II</t>
  </si>
  <si>
    <t>Wadowice</t>
  </si>
  <si>
    <t>Vivir guerra, totalitarismos, pérdida familiar y liderazgo global en tiempos de cambio</t>
  </si>
  <si>
    <t>Promovió dignidad humana, diálogo, paz y esperanza desde su misión pastoral</t>
  </si>
  <si>
    <t>Esperanza frente a la historia</t>
  </si>
  <si>
    <t>Su vida conectó sufrimiento personal con liderazgo global</t>
  </si>
  <si>
    <t>Juana de Arco</t>
  </si>
  <si>
    <t>Domrémy</t>
  </si>
  <si>
    <t>Enfrentar guerra, dudas, juicio y condena siendo joven y mujer</t>
  </si>
  <si>
    <t>Siguió su misión con valentía hasta el martirio</t>
  </si>
  <si>
    <t>Misión bajo riesgo</t>
  </si>
  <si>
    <t>Creyó en su misión aun cuando el miedo era enorme</t>
  </si>
  <si>
    <t>Junípero Serra</t>
  </si>
  <si>
    <t>Petra</t>
  </si>
  <si>
    <t>Llevar educación y organización a nuevos territorios</t>
  </si>
  <si>
    <t>Fundó misiones y comunidades</t>
  </si>
  <si>
    <t>Misión y organización</t>
  </si>
  <si>
    <t>Construir comunidad exige perseverancia</t>
  </si>
  <si>
    <t>Kateri Tekakwitha</t>
  </si>
  <si>
    <t>Auriesville</t>
  </si>
  <si>
    <t>Estados Unidos</t>
  </si>
  <si>
    <t>Vivir la fe en medio de enfermedad, pérdida familiar y tensiones culturales</t>
  </si>
  <si>
    <t>Siguió su camino espiritual con firmeza y sencillez</t>
  </si>
  <si>
    <t>Identidad y fidelidad</t>
  </si>
  <si>
    <t>Pureza de corazón</t>
  </si>
  <si>
    <t>Encontró una forma propia de vivir su fe y su identidad</t>
  </si>
  <si>
    <t>Laura Montoya</t>
  </si>
  <si>
    <t>Jericó</t>
  </si>
  <si>
    <t>Colombia</t>
  </si>
  <si>
    <t>Servir y educar en contextos de exclusión, pobreza y distancia cultural</t>
  </si>
  <si>
    <t>Fundó una comunidad misionera y educativa en favor de comunidades indígenas</t>
  </si>
  <si>
    <t>Servicio intercultural</t>
  </si>
  <si>
    <t>Misión</t>
  </si>
  <si>
    <t>Llevó educación y presencia donde otros no querían llegar</t>
  </si>
  <si>
    <t>León Magno</t>
  </si>
  <si>
    <t>Toscana</t>
  </si>
  <si>
    <t>Guiar en tiempos de crisis</t>
  </si>
  <si>
    <t>Usó diálogo y liderazgo para evitar conflictos</t>
  </si>
  <si>
    <t>Liderazgo en crisis</t>
  </si>
  <si>
    <t>El diálogo puede evitar violencia</t>
  </si>
  <si>
    <t>Lucas Evangelista</t>
  </si>
  <si>
    <t>Comunicar la experiencia cristiana con sensibilidad narrativa y cuidado por los vulnerables</t>
  </si>
  <si>
    <t>Escribió relatos que unieron historia, fe, misericordia y misión</t>
  </si>
  <si>
    <t>Comunicar esperanza</t>
  </si>
  <si>
    <t>Narración compasiva</t>
  </si>
  <si>
    <t>Contó la fe con atención especial a los pequeños y enfermos</t>
  </si>
  <si>
    <t>Luis Gonzaga</t>
  </si>
  <si>
    <t>Castiglione</t>
  </si>
  <si>
    <t>Elegir servicio en vez de privilegios</t>
  </si>
  <si>
    <t>Ayudó enfermos durante epidemias</t>
  </si>
  <si>
    <t>Juventud y entrega</t>
  </si>
  <si>
    <t>La juventud también puede servir profundamente</t>
  </si>
  <si>
    <t>Luisa de Marillac</t>
  </si>
  <si>
    <t>París</t>
  </si>
  <si>
    <t>Organizar el servicio a pobres, enfermos y abandonados en medio de grandes necesidades sociales</t>
  </si>
  <si>
    <t>Fundó con Vicente de Paúl una comunidad dedicada a la caridad organizada</t>
  </si>
  <si>
    <t>Servicio concreto a los vulnerables</t>
  </si>
  <si>
    <t>Hizo del cuidado una tarea organizada y cotidiana</t>
  </si>
  <si>
    <t>Marcelino Champagnat</t>
  </si>
  <si>
    <t>Marlhes</t>
  </si>
  <si>
    <t>Dar educación a niños pobres</t>
  </si>
  <si>
    <t>Creó escuelas y comunidades educativas</t>
  </si>
  <si>
    <t>Educar también es cuidar</t>
  </si>
  <si>
    <t>María Goretti</t>
  </si>
  <si>
    <t>Corinaldo</t>
  </si>
  <si>
    <t>Enfrentar violencia extrema siendo niña y pobre</t>
  </si>
  <si>
    <t>Perdonó a su agresor antes de morir</t>
  </si>
  <si>
    <t>Violencia y perdón</t>
  </si>
  <si>
    <t>En medio de una tragedia eligió el perdón</t>
  </si>
  <si>
    <t>María Magdalena</t>
  </si>
  <si>
    <t>Magdala</t>
  </si>
  <si>
    <t>Reconstruir su vida desde el encuentro espiritual</t>
  </si>
  <si>
    <t>Se convirtió en testigo y anunciadora</t>
  </si>
  <si>
    <t>Transformación personal</t>
  </si>
  <si>
    <t>Una vida puede comenzar de nuevo</t>
  </si>
  <si>
    <t>Marta de Betania</t>
  </si>
  <si>
    <t>Betania</t>
  </si>
  <si>
    <t>Equilibrar servicio y escucha</t>
  </si>
  <si>
    <t>Aprendió a integrar acción y espiritualidad</t>
  </si>
  <si>
    <t>Tensión cotidiana</t>
  </si>
  <si>
    <t>Servir también necesita pausa y escucha</t>
  </si>
  <si>
    <t>Martín de Porres</t>
  </si>
  <si>
    <t>Lima</t>
  </si>
  <si>
    <t>Perú</t>
  </si>
  <si>
    <t>Vivir discriminación social y racial en una sociedad jerárquica</t>
  </si>
  <si>
    <t>Respondió con humildad, servicio a pobres y cuidado de enfermos y animales</t>
  </si>
  <si>
    <t>Discriminación transformada en servicio</t>
  </si>
  <si>
    <t>Sirvió con ternura donde otros levantaban barreras</t>
  </si>
  <si>
    <t>Maximiliano Kolbe</t>
  </si>
  <si>
    <t>Zduńska Wola</t>
  </si>
  <si>
    <t>Vivir persecución nazi y prisión en un campo de concentración</t>
  </si>
  <si>
    <t>Entregó su vida para salvar a otro prisionero</t>
  </si>
  <si>
    <t>Sacrificio por otro</t>
  </si>
  <si>
    <t>Amor heroico</t>
  </si>
  <si>
    <t>En el horror eligió ocupar el lugar de otro</t>
  </si>
  <si>
    <t>Mónica</t>
  </si>
  <si>
    <t>Sufrir por la vida desordenada de su hijo y tensiones familiares</t>
  </si>
  <si>
    <t>Perseveró en oración, paciencia y acompañamiento</t>
  </si>
  <si>
    <t>Dolor familiar</t>
  </si>
  <si>
    <t>Esperó sin dejar de amar ni de orar</t>
  </si>
  <si>
    <t>Nicolás de Bari</t>
  </si>
  <si>
    <t>Patara</t>
  </si>
  <si>
    <t>Ayudar en secreto a personas necesitadas</t>
  </si>
  <si>
    <t>Usó sus recursos para servir discretamente</t>
  </si>
  <si>
    <t>Generosidad silenciosa</t>
  </si>
  <si>
    <t>Solidaridad</t>
  </si>
  <si>
    <t>La ayuda discreta también transforma</t>
  </si>
  <si>
    <t>Norberto</t>
  </si>
  <si>
    <t>Xanten</t>
  </si>
  <si>
    <t>Reformar comunidades relajadas</t>
  </si>
  <si>
    <t>Impulsó disciplina y misión</t>
  </si>
  <si>
    <t>Reforma comunitaria</t>
  </si>
  <si>
    <t>El cambio requiere coherencia</t>
  </si>
  <si>
    <t>Óscar Romero</t>
  </si>
  <si>
    <t>Ciudad Barrios</t>
  </si>
  <si>
    <t>El Salvador</t>
  </si>
  <si>
    <t>Enfrentar violencia, injusticia social y amenazas contra su vida</t>
  </si>
  <si>
    <t>Alzó la voz en defensa de los pobres y las víctimas</t>
  </si>
  <si>
    <t>Justicia frente al miedo</t>
  </si>
  <si>
    <t>Habló por quienes no podían defenderse</t>
  </si>
  <si>
    <t>Pablo</t>
  </si>
  <si>
    <t>Tarso</t>
  </si>
  <si>
    <t>Pasar de perseguidor a misionero perseguido</t>
  </si>
  <si>
    <t>Cambió radicalmente de vida y anunció la fe en múltiples comunidades</t>
  </si>
  <si>
    <t>Conversión radical</t>
  </si>
  <si>
    <t>Su cambio de vida se volvió camino para muchos</t>
  </si>
  <si>
    <t>c. 5</t>
  </si>
  <si>
    <t>c. 64</t>
  </si>
  <si>
    <t>Padre Pío</t>
  </si>
  <si>
    <t>Pietrelcina</t>
  </si>
  <si>
    <t>Vivir sufrimiento físico, incomprensiones y exigente vida espiritual</t>
  </si>
  <si>
    <t>Perseveró en oración, confesión y acompañamiento espiritual</t>
  </si>
  <si>
    <t>Dolor ofrecido</t>
  </si>
  <si>
    <t>Transformó el sufrimiento en acompañamiento espiritual</t>
  </si>
  <si>
    <t>Pantaleón</t>
  </si>
  <si>
    <t>Nicomedia</t>
  </si>
  <si>
    <t>Usar medicina al servicio de pobres</t>
  </si>
  <si>
    <t>Atendió gratuitamente a enfermos</t>
  </si>
  <si>
    <t>Cuidado de la vida</t>
  </si>
  <si>
    <t>La medicina también puede ser misericordia</t>
  </si>
  <si>
    <t>Patricio</t>
  </si>
  <si>
    <t>Britania</t>
  </si>
  <si>
    <t>Reino Unido</t>
  </si>
  <si>
    <t>Evangelizar tras haber sido esclavo</t>
  </si>
  <si>
    <t>Regresó al lugar donde sufrió para servir</t>
  </si>
  <si>
    <t>Perdón y misión</t>
  </si>
  <si>
    <t>El pasado doloroso puede transformarse</t>
  </si>
  <si>
    <t>Pedro</t>
  </si>
  <si>
    <t>Enfrentar su miedo, fragilidad y negación antes de asumir liderazgo</t>
  </si>
  <si>
    <t>Aceptó su misión y guió a la primera comunidad cristiana</t>
  </si>
  <si>
    <t>Fragilidad transformada en liderazgo</t>
  </si>
  <si>
    <t>Su caída no impidió que asumiera una misión mayor</t>
  </si>
  <si>
    <t>Pedro Claver</t>
  </si>
  <si>
    <t>Verdú</t>
  </si>
  <si>
    <t>Confrontar la esclavitud y el sufrimiento de personas africanas esclavizadas en Cartagena</t>
  </si>
  <si>
    <t>Se puso al servicio de los esclavizados con cuidado, defensa y acompañamiento</t>
  </si>
  <si>
    <t>Dignidad en medio de la opresión</t>
  </si>
  <si>
    <t>Sirvió a quienes eran tratados como mercancía</t>
  </si>
  <si>
    <t>Perpetua</t>
  </si>
  <si>
    <t>Enfrentar persecución siendo madre joven</t>
  </si>
  <si>
    <t>Mantuvo sus convicciones</t>
  </si>
  <si>
    <t>Maternidad y valentía</t>
  </si>
  <si>
    <t>La convicción puede vencer el miedo</t>
  </si>
  <si>
    <t>Rita de Casia</t>
  </si>
  <si>
    <t>Roccaporena</t>
  </si>
  <si>
    <t>Vivir conflictos familiares, violencia y pérdidas profundas</t>
  </si>
  <si>
    <t>Eligió perdonar y buscar reconciliación en medio del dolor</t>
  </si>
  <si>
    <t>Dolor y perdón</t>
  </si>
  <si>
    <t>Su vida mostró que el perdón puede nacer del dolor</t>
  </si>
  <si>
    <t>Roque</t>
  </si>
  <si>
    <t>Montpellier</t>
  </si>
  <si>
    <t>Cuidar enfermos durante epidemias</t>
  </si>
  <si>
    <t>Sirvió a personas contagiadas</t>
  </si>
  <si>
    <t>Compasión en crisis</t>
  </si>
  <si>
    <t>El miedo no detuvo su cuidado</t>
  </si>
  <si>
    <t>Rosa de Lima</t>
  </si>
  <si>
    <t>Buscar una vida de oración y servicio en medio de expectativas sociales</t>
  </si>
  <si>
    <t>Eligió austeridad, contemplación y ayuda a pobres y enfermos</t>
  </si>
  <si>
    <t>Entrega interior</t>
  </si>
  <si>
    <t>Unió contemplación y compasión desde la vida cotidiana</t>
  </si>
  <si>
    <t>Sebastián</t>
  </si>
  <si>
    <t>Narbonne</t>
  </si>
  <si>
    <t>Mantener la fe bajo persecución</t>
  </si>
  <si>
    <t>Ayudó a perseguidos pese al riesgo</t>
  </si>
  <si>
    <t>Riesgo y solidaridad</t>
  </si>
  <si>
    <t>La solidaridad también exige coraje</t>
  </si>
  <si>
    <t>Teresa de Ávila</t>
  </si>
  <si>
    <t>Ávila</t>
  </si>
  <si>
    <t>Reformar la vida religiosa en medio de enfermedad, oposición e incomprensión</t>
  </si>
  <si>
    <t>Fundó conventos y escribió una guía profunda de vida interior</t>
  </si>
  <si>
    <t>Reforma desde la interioridad</t>
  </si>
  <si>
    <t>Determinación</t>
  </si>
  <si>
    <t>Su fortaleza nació de una vida interior intensa</t>
  </si>
  <si>
    <t>Teresa de Calcuta</t>
  </si>
  <si>
    <t>Skopie</t>
  </si>
  <si>
    <t>Macedonia del Norte</t>
  </si>
  <si>
    <t>Ver abandono, pobreza extrema y soledad en las calles de Calcuta</t>
  </si>
  <si>
    <t>Dejó su comodidad institucional para servir a los más pobres entre los pobres</t>
  </si>
  <si>
    <t>Compasión ante el abandono</t>
  </si>
  <si>
    <t>Vio dignidad donde el mundo veía descarte</t>
  </si>
  <si>
    <t>Teresa de Lisieux</t>
  </si>
  <si>
    <t>Alençon</t>
  </si>
  <si>
    <t>Vivir enfermedad, fragilidad emocional y deseo de amar desde lo pequeño</t>
  </si>
  <si>
    <t>Propuso un camino de sencillez, confianza y amor cotidiano</t>
  </si>
  <si>
    <t>Pequeñez con sentido</t>
  </si>
  <si>
    <t>Mostró que lo pequeño también puede ser grande en amor</t>
  </si>
  <si>
    <t>Tomás de Aquino</t>
  </si>
  <si>
    <t>Roccasecca</t>
  </si>
  <si>
    <t>Buscar una síntesis entre razón, filosofía y fe</t>
  </si>
  <si>
    <t>Dedicó su vida al estudio, la enseñanza y la elaboración teológica</t>
  </si>
  <si>
    <t>Búsqueda racional de verdad</t>
  </si>
  <si>
    <t>Ordenó grandes preguntas para poner la razón al servicio de la fe</t>
  </si>
  <si>
    <t>Vicenta María López</t>
  </si>
  <si>
    <t>Valencia</t>
  </si>
  <si>
    <t>Acompañar mujeres trabajadoras</t>
  </si>
  <si>
    <t>Creó espacios de apoyo y formación</t>
  </si>
  <si>
    <t>Protección y dignidad</t>
  </si>
  <si>
    <t>Acompañar también empodera</t>
  </si>
  <si>
    <t>Vicente de Paúl</t>
  </si>
  <si>
    <t>Pouy</t>
  </si>
  <si>
    <t>Responder a pobreza, abandono y sufrimiento social con organización y caridad</t>
  </si>
  <si>
    <t>Creó redes de servicio para pobres, enfermos y marginados</t>
  </si>
  <si>
    <t>Caridad organizada</t>
  </si>
  <si>
    <t>Organizó el amor para que llegara a quienes más lo necesitaban</t>
  </si>
  <si>
    <t>Zita</t>
  </si>
  <si>
    <t>Monsagrati</t>
  </si>
  <si>
    <t>Vivir santidad desde el trabajo cotidiano</t>
  </si>
  <si>
    <t>Sirvió con honestidad y sencillez</t>
  </si>
  <si>
    <t>Trabajo digno</t>
  </si>
  <si>
    <t>La sencillez cotidiana también transforma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</si>
</sst>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70AD47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0" borderId="0" xfId="0"/>
    <xf numFmtId="0" fontId="2" fillId="12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3"/>
  <sheetViews>
    <sheetView tabSelected="1" workbookViewId="0">
      <pane ySplit="2" topLeftCell="A98" activePane="bottomLeft" state="frozen"/>
      <selection pane="bottomLeft" activeCell="A99" sqref="A99"/>
    </sheetView>
  </sheetViews>
  <sheetFormatPr baseColWidth="10" defaultColWidth="9.140625" defaultRowHeight="15" x14ac:dyDescent="0.25"/>
  <cols>
    <col min="1" max="1" width="22.5703125" bestFit="1" customWidth="1"/>
    <col min="2" max="2" width="16.85546875" bestFit="1" customWidth="1"/>
    <col min="3" max="3" width="19.7109375" bestFit="1" customWidth="1"/>
    <col min="4" max="6" width="30" customWidth="1"/>
    <col min="7" max="7" width="19.42578125" bestFit="1" customWidth="1"/>
    <col min="8" max="8" width="30" customWidth="1"/>
    <col min="9" max="9" width="19.5703125" bestFit="1" customWidth="1"/>
    <col min="10" max="10" width="18.5703125" bestFit="1" customWidth="1"/>
    <col min="11" max="11" width="9.85546875" bestFit="1" customWidth="1"/>
    <col min="12" max="12" width="11.42578125" bestFit="1" customWidth="1"/>
    <col min="13" max="13" width="13" bestFit="1" customWidth="1"/>
    <col min="14" max="14" width="14.28515625" bestFit="1" customWidth="1"/>
    <col min="15" max="15" width="14.42578125" bestFit="1" customWidth="1"/>
    <col min="16" max="16" width="12.42578125" bestFit="1" customWidth="1"/>
    <col min="17" max="17" width="14.42578125" bestFit="1" customWidth="1"/>
    <col min="18" max="18" width="19.5703125" bestFit="1" customWidth="1"/>
    <col min="19" max="19" width="19.140625" bestFit="1" customWidth="1"/>
    <col min="20" max="20" width="21.42578125" bestFit="1" customWidth="1"/>
    <col min="21" max="21" width="14" bestFit="1" customWidth="1"/>
    <col min="22" max="22" width="14.42578125" bestFit="1" customWidth="1"/>
    <col min="23" max="23" width="15.140625" bestFit="1" customWidth="1"/>
    <col min="24" max="24" width="13.5703125" bestFit="1" customWidth="1"/>
    <col min="25" max="25" width="12" bestFit="1" customWidth="1"/>
    <col min="26" max="26" width="12.28515625" bestFit="1" customWidth="1"/>
    <col min="27" max="27" width="15.42578125" bestFit="1" customWidth="1"/>
    <col min="28" max="28" width="12.7109375" bestFit="1" customWidth="1"/>
    <col min="29" max="29" width="15.7109375" bestFit="1" customWidth="1"/>
    <col min="30" max="30" width="14.42578125" bestFit="1" customWidth="1"/>
    <col min="31" max="31" width="12" bestFit="1" customWidth="1"/>
    <col min="32" max="32" width="13.85546875" bestFit="1" customWidth="1"/>
    <col min="33" max="33" width="14.85546875" bestFit="1" customWidth="1"/>
    <col min="34" max="34" width="15.5703125" bestFit="1" customWidth="1"/>
    <col min="35" max="35" width="14.140625" bestFit="1" customWidth="1"/>
    <col min="36" max="36" width="16" bestFit="1" customWidth="1"/>
    <col min="37" max="37" width="17.5703125" bestFit="1" customWidth="1"/>
    <col min="38" max="38" width="15.5703125" bestFit="1" customWidth="1"/>
    <col min="39" max="39" width="12.42578125" bestFit="1" customWidth="1"/>
    <col min="40" max="40" width="19" bestFit="1" customWidth="1"/>
    <col min="41" max="41" width="16.140625" bestFit="1" customWidth="1"/>
    <col min="42" max="42" width="10" bestFit="1" customWidth="1"/>
    <col min="43" max="44" width="30" customWidth="1"/>
    <col min="45" max="45" width="12" customWidth="1"/>
  </cols>
  <sheetData>
    <row r="1" spans="1:42" ht="30" customHeight="1" x14ac:dyDescent="0.25">
      <c r="A1" s="15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6" t="s">
        <v>1</v>
      </c>
      <c r="M1" s="7"/>
      <c r="N1" s="7"/>
      <c r="O1" s="10" t="s">
        <v>2</v>
      </c>
      <c r="P1" s="7"/>
      <c r="Q1" s="7"/>
      <c r="R1" s="14" t="s">
        <v>3</v>
      </c>
      <c r="S1" s="7"/>
      <c r="T1" s="7"/>
      <c r="U1" s="13" t="s">
        <v>4</v>
      </c>
      <c r="V1" s="7"/>
      <c r="W1" s="7"/>
      <c r="X1" s="16" t="s">
        <v>5</v>
      </c>
      <c r="Y1" s="7"/>
      <c r="Z1" s="7"/>
      <c r="AA1" s="9" t="s">
        <v>6</v>
      </c>
      <c r="AB1" s="7"/>
      <c r="AC1" s="7"/>
      <c r="AD1" s="8" t="s">
        <v>7</v>
      </c>
      <c r="AE1" s="7"/>
      <c r="AF1" s="7"/>
      <c r="AG1" s="12" t="s">
        <v>8</v>
      </c>
      <c r="AH1" s="7"/>
      <c r="AI1" s="7"/>
      <c r="AJ1" s="11" t="s">
        <v>9</v>
      </c>
      <c r="AK1" s="7"/>
      <c r="AL1" s="7"/>
      <c r="AM1" s="8" t="s">
        <v>10</v>
      </c>
      <c r="AN1" s="7"/>
      <c r="AO1" s="7"/>
      <c r="AP1" s="1"/>
    </row>
    <row r="2" spans="1:42" ht="30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 t="s">
        <v>22</v>
      </c>
      <c r="M2" s="3" t="s">
        <v>23</v>
      </c>
      <c r="N2" s="3" t="s">
        <v>24</v>
      </c>
      <c r="O2" s="3" t="s">
        <v>25</v>
      </c>
      <c r="P2" s="3" t="s">
        <v>26</v>
      </c>
      <c r="Q2" s="3" t="s">
        <v>27</v>
      </c>
      <c r="R2" s="5" t="s">
        <v>28</v>
      </c>
      <c r="S2" s="3" t="s">
        <v>29</v>
      </c>
      <c r="T2" s="3" t="s">
        <v>30</v>
      </c>
      <c r="U2" s="3" t="s">
        <v>31</v>
      </c>
      <c r="V2" s="3" t="s">
        <v>32</v>
      </c>
      <c r="W2" s="3" t="s">
        <v>33</v>
      </c>
      <c r="X2" s="3" t="s">
        <v>34</v>
      </c>
      <c r="Y2" s="3" t="s">
        <v>35</v>
      </c>
      <c r="Z2" s="3" t="s">
        <v>36</v>
      </c>
      <c r="AA2" s="3" t="s">
        <v>37</v>
      </c>
      <c r="AB2" s="3" t="s">
        <v>38</v>
      </c>
      <c r="AC2" s="3" t="s">
        <v>39</v>
      </c>
      <c r="AD2" s="3" t="s">
        <v>40</v>
      </c>
      <c r="AE2" s="3" t="s">
        <v>41</v>
      </c>
      <c r="AF2" s="3" t="s">
        <v>42</v>
      </c>
      <c r="AG2" s="3" t="s">
        <v>43</v>
      </c>
      <c r="AH2" s="3" t="s">
        <v>44</v>
      </c>
      <c r="AI2" s="3" t="s">
        <v>45</v>
      </c>
      <c r="AJ2" s="3" t="s">
        <v>46</v>
      </c>
      <c r="AK2" s="3" t="s">
        <v>47</v>
      </c>
      <c r="AL2" s="3" t="s">
        <v>48</v>
      </c>
      <c r="AM2" s="3" t="s">
        <v>49</v>
      </c>
      <c r="AN2" s="3" t="s">
        <v>50</v>
      </c>
      <c r="AO2" s="3" t="s">
        <v>51</v>
      </c>
      <c r="AP2" s="3" t="s">
        <v>52</v>
      </c>
    </row>
    <row r="3" spans="1:42" ht="30" customHeight="1" x14ac:dyDescent="0.25">
      <c r="A3" s="4" t="s">
        <v>53</v>
      </c>
      <c r="B3" s="4" t="s">
        <v>54</v>
      </c>
      <c r="C3" s="4" t="s">
        <v>55</v>
      </c>
      <c r="D3" s="4" t="s">
        <v>56</v>
      </c>
      <c r="E3" s="4" t="s">
        <v>57</v>
      </c>
      <c r="F3" s="4" t="s">
        <v>58</v>
      </c>
      <c r="G3" s="4" t="s">
        <v>44</v>
      </c>
      <c r="H3" s="4" t="s">
        <v>59</v>
      </c>
      <c r="I3" s="4">
        <v>354</v>
      </c>
      <c r="J3" s="4">
        <v>430</v>
      </c>
      <c r="K3" s="4">
        <f t="shared" ref="K3:K34" si="0">IF(AND(ISNUMBER(I3),ISNUMBER(J3)),J3-I3,"")</f>
        <v>76</v>
      </c>
      <c r="L3" s="4"/>
      <c r="M3" s="4"/>
      <c r="N3" s="4"/>
      <c r="O3" s="4"/>
      <c r="P3" s="4"/>
      <c r="Q3" s="4"/>
      <c r="R3" s="4">
        <v>1</v>
      </c>
      <c r="S3" s="4">
        <v>1</v>
      </c>
      <c r="T3" s="4">
        <v>1</v>
      </c>
      <c r="U3" s="4"/>
      <c r="V3" s="4"/>
      <c r="W3" s="4"/>
      <c r="X3" s="4"/>
      <c r="Y3" s="4"/>
      <c r="Z3" s="4"/>
      <c r="AA3" s="4"/>
      <c r="AB3" s="4"/>
      <c r="AC3" s="4"/>
      <c r="AD3" s="4">
        <v>1</v>
      </c>
      <c r="AE3" s="4"/>
      <c r="AF3" s="4">
        <v>1</v>
      </c>
      <c r="AG3" s="4"/>
      <c r="AH3" s="4"/>
      <c r="AI3" s="4"/>
      <c r="AJ3" s="4"/>
      <c r="AK3" s="4"/>
      <c r="AL3" s="4"/>
      <c r="AM3" s="4"/>
      <c r="AN3" s="4"/>
      <c r="AO3" s="4"/>
      <c r="AP3" s="4">
        <f>SUM(L3:AO3)</f>
        <v>5</v>
      </c>
    </row>
    <row r="4" spans="1:42" ht="30" customHeight="1" x14ac:dyDescent="0.25">
      <c r="A4" s="4" t="s">
        <v>60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42</v>
      </c>
      <c r="H4" s="4" t="s">
        <v>66</v>
      </c>
      <c r="I4" s="4">
        <v>1200</v>
      </c>
      <c r="J4" s="4">
        <v>1280</v>
      </c>
      <c r="K4" s="4">
        <f t="shared" si="0"/>
        <v>80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>
        <v>1</v>
      </c>
      <c r="AE4" s="4">
        <v>1</v>
      </c>
      <c r="AF4" s="4">
        <v>1</v>
      </c>
      <c r="AG4" s="4">
        <v>1</v>
      </c>
      <c r="AH4" s="4"/>
      <c r="AI4" s="4"/>
      <c r="AJ4" s="4"/>
      <c r="AK4" s="4"/>
      <c r="AL4" s="4"/>
      <c r="AM4" s="4"/>
      <c r="AN4" s="4">
        <v>1</v>
      </c>
      <c r="AO4" s="4"/>
      <c r="AP4" s="4">
        <f t="shared" ref="AP4:AP9" si="1">SUM(L4:AN4)</f>
        <v>5</v>
      </c>
    </row>
    <row r="5" spans="1:42" ht="30" customHeight="1" x14ac:dyDescent="0.25">
      <c r="A5" s="4" t="s">
        <v>67</v>
      </c>
      <c r="B5" s="4" t="s">
        <v>68</v>
      </c>
      <c r="C5" s="4" t="s">
        <v>62</v>
      </c>
      <c r="D5" s="4" t="s">
        <v>69</v>
      </c>
      <c r="E5" s="4" t="s">
        <v>70</v>
      </c>
      <c r="F5" s="4" t="s">
        <v>71</v>
      </c>
      <c r="G5" s="4" t="s">
        <v>31</v>
      </c>
      <c r="H5" s="4" t="s">
        <v>72</v>
      </c>
      <c r="I5" s="4">
        <v>340</v>
      </c>
      <c r="J5" s="4">
        <v>397</v>
      </c>
      <c r="K5" s="4">
        <f t="shared" si="0"/>
        <v>57</v>
      </c>
      <c r="L5" s="4"/>
      <c r="M5" s="4"/>
      <c r="N5" s="4"/>
      <c r="O5" s="4"/>
      <c r="P5" s="4"/>
      <c r="Q5" s="4"/>
      <c r="R5" s="4"/>
      <c r="S5" s="4"/>
      <c r="T5" s="4"/>
      <c r="U5" s="4">
        <v>1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>
        <f t="shared" si="1"/>
        <v>1</v>
      </c>
    </row>
    <row r="6" spans="1:42" ht="30" customHeight="1" x14ac:dyDescent="0.25">
      <c r="A6" s="4" t="s">
        <v>73</v>
      </c>
      <c r="B6" s="4" t="s">
        <v>74</v>
      </c>
      <c r="C6" s="4" t="s">
        <v>75</v>
      </c>
      <c r="D6" s="4" t="s">
        <v>76</v>
      </c>
      <c r="E6" s="4" t="s">
        <v>77</v>
      </c>
      <c r="F6" s="4" t="s">
        <v>78</v>
      </c>
      <c r="G6" s="4" t="s">
        <v>24</v>
      </c>
      <c r="H6" s="4" t="s">
        <v>79</v>
      </c>
      <c r="I6" s="4" t="s">
        <v>80</v>
      </c>
      <c r="J6" s="4" t="s">
        <v>80</v>
      </c>
      <c r="K6" s="4" t="str">
        <f t="shared" si="0"/>
        <v/>
      </c>
      <c r="L6" s="4"/>
      <c r="M6" s="4"/>
      <c r="N6" s="4">
        <v>1</v>
      </c>
      <c r="O6" s="4"/>
      <c r="P6" s="4"/>
      <c r="Q6" s="4">
        <v>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>
        <v>1</v>
      </c>
      <c r="AD6" s="4"/>
      <c r="AE6" s="4"/>
      <c r="AF6" s="4"/>
      <c r="AG6" s="4"/>
      <c r="AH6" s="4"/>
      <c r="AI6" s="4"/>
      <c r="AJ6" s="4"/>
      <c r="AK6" s="4"/>
      <c r="AL6" s="4"/>
      <c r="AM6" s="4">
        <v>1</v>
      </c>
      <c r="AN6" s="4"/>
      <c r="AO6" s="4"/>
      <c r="AP6" s="4">
        <f t="shared" si="1"/>
        <v>4</v>
      </c>
    </row>
    <row r="7" spans="1:42" ht="30" customHeight="1" x14ac:dyDescent="0.25">
      <c r="A7" s="4" t="s">
        <v>81</v>
      </c>
      <c r="B7" s="4" t="s">
        <v>82</v>
      </c>
      <c r="C7" s="4" t="s">
        <v>75</v>
      </c>
      <c r="D7" s="4" t="s">
        <v>83</v>
      </c>
      <c r="E7" s="4" t="s">
        <v>84</v>
      </c>
      <c r="F7" s="4" t="s">
        <v>85</v>
      </c>
      <c r="G7" s="4" t="s">
        <v>86</v>
      </c>
      <c r="H7" s="4" t="s">
        <v>87</v>
      </c>
      <c r="I7" s="4" t="s">
        <v>88</v>
      </c>
      <c r="J7" s="4" t="s">
        <v>88</v>
      </c>
      <c r="K7" s="4" t="str">
        <f t="shared" si="0"/>
        <v/>
      </c>
      <c r="L7" s="4"/>
      <c r="M7" s="4"/>
      <c r="N7" s="4">
        <v>1</v>
      </c>
      <c r="O7" s="4"/>
      <c r="P7" s="4"/>
      <c r="Q7" s="4"/>
      <c r="R7" s="4">
        <v>1</v>
      </c>
      <c r="S7" s="4"/>
      <c r="T7" s="4">
        <v>1</v>
      </c>
      <c r="U7" s="4"/>
      <c r="V7" s="4"/>
      <c r="W7" s="4"/>
      <c r="X7" s="4"/>
      <c r="Y7" s="4"/>
      <c r="Z7" s="4"/>
      <c r="AA7" s="4"/>
      <c r="AB7" s="4"/>
      <c r="AC7" s="4">
        <v>1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f t="shared" si="1"/>
        <v>4</v>
      </c>
    </row>
    <row r="8" spans="1:42" ht="30" customHeight="1" x14ac:dyDescent="0.25">
      <c r="A8" s="4" t="s">
        <v>89</v>
      </c>
      <c r="B8" s="4" t="s">
        <v>90</v>
      </c>
      <c r="C8" s="4" t="s">
        <v>91</v>
      </c>
      <c r="D8" s="4" t="s">
        <v>92</v>
      </c>
      <c r="E8" s="4" t="s">
        <v>93</v>
      </c>
      <c r="F8" s="4" t="s">
        <v>94</v>
      </c>
      <c r="G8" s="4" t="s">
        <v>95</v>
      </c>
      <c r="H8" s="4" t="s">
        <v>96</v>
      </c>
      <c r="I8" s="4">
        <v>1474</v>
      </c>
      <c r="J8" s="4">
        <v>1540</v>
      </c>
      <c r="K8" s="4">
        <f t="shared" si="0"/>
        <v>66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>
        <v>1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f t="shared" si="1"/>
        <v>1</v>
      </c>
    </row>
    <row r="9" spans="1:42" ht="30" customHeight="1" x14ac:dyDescent="0.25">
      <c r="A9" s="4" t="s">
        <v>97</v>
      </c>
      <c r="B9" s="4" t="s">
        <v>98</v>
      </c>
      <c r="C9" s="4" t="s">
        <v>99</v>
      </c>
      <c r="D9" s="4" t="s">
        <v>100</v>
      </c>
      <c r="E9" s="4" t="s">
        <v>101</v>
      </c>
      <c r="F9" s="4" t="s">
        <v>102</v>
      </c>
      <c r="G9" s="4" t="s">
        <v>103</v>
      </c>
      <c r="H9" s="4" t="s">
        <v>104</v>
      </c>
      <c r="I9" s="4">
        <v>110</v>
      </c>
      <c r="J9" s="4">
        <v>166</v>
      </c>
      <c r="K9" s="4">
        <f t="shared" si="0"/>
        <v>56</v>
      </c>
      <c r="L9" s="4"/>
      <c r="M9" s="4">
        <v>1</v>
      </c>
      <c r="N9" s="4"/>
      <c r="O9" s="4"/>
      <c r="P9" s="4"/>
      <c r="Q9" s="4"/>
      <c r="R9" s="4"/>
      <c r="S9" s="4"/>
      <c r="T9" s="4"/>
      <c r="U9" s="4">
        <v>1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>
        <f t="shared" si="1"/>
        <v>2</v>
      </c>
    </row>
    <row r="10" spans="1:42" ht="30" customHeight="1" x14ac:dyDescent="0.25">
      <c r="A10" s="4" t="s">
        <v>105</v>
      </c>
      <c r="B10" s="4" t="s">
        <v>106</v>
      </c>
      <c r="C10" s="4" t="s">
        <v>91</v>
      </c>
      <c r="D10" s="4" t="s">
        <v>107</v>
      </c>
      <c r="E10" s="4" t="s">
        <v>108</v>
      </c>
      <c r="F10" s="4" t="s">
        <v>109</v>
      </c>
      <c r="G10" s="4" t="s">
        <v>42</v>
      </c>
      <c r="H10" s="4" t="s">
        <v>110</v>
      </c>
      <c r="I10" s="4">
        <v>1033</v>
      </c>
      <c r="J10" s="4">
        <v>1109</v>
      </c>
      <c r="K10" s="4">
        <f t="shared" si="0"/>
        <v>76</v>
      </c>
      <c r="L10" s="4"/>
      <c r="M10" s="4"/>
      <c r="N10" s="4"/>
      <c r="O10" s="4"/>
      <c r="P10" s="4"/>
      <c r="Q10" s="4"/>
      <c r="R10" s="4"/>
      <c r="S10" s="4">
        <v>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>
        <v>1</v>
      </c>
      <c r="AE10" s="4">
        <v>1</v>
      </c>
      <c r="AF10" s="4">
        <v>1</v>
      </c>
      <c r="AG10" s="4"/>
      <c r="AH10" s="4"/>
      <c r="AI10" s="4">
        <v>1</v>
      </c>
      <c r="AJ10" s="4"/>
      <c r="AK10" s="4"/>
      <c r="AL10" s="4"/>
      <c r="AM10" s="4"/>
      <c r="AN10" s="4"/>
      <c r="AO10" s="4"/>
      <c r="AP10" s="4">
        <f t="shared" ref="AP10:AP17" si="2">SUM(L10:AO10)</f>
        <v>5</v>
      </c>
    </row>
    <row r="11" spans="1:42" ht="30" customHeight="1" x14ac:dyDescent="0.25">
      <c r="A11" s="4" t="s">
        <v>111</v>
      </c>
      <c r="B11" s="4" t="s">
        <v>112</v>
      </c>
      <c r="C11" s="4" t="s">
        <v>113</v>
      </c>
      <c r="D11" s="4" t="s">
        <v>114</v>
      </c>
      <c r="E11" s="4" t="s">
        <v>115</v>
      </c>
      <c r="F11" s="4" t="s">
        <v>116</v>
      </c>
      <c r="G11" s="4" t="s">
        <v>95</v>
      </c>
      <c r="H11" s="4" t="s">
        <v>117</v>
      </c>
      <c r="I11" s="4">
        <v>1195</v>
      </c>
      <c r="J11" s="4">
        <v>1231</v>
      </c>
      <c r="K11" s="4">
        <f t="shared" si="0"/>
        <v>36</v>
      </c>
      <c r="L11" s="4"/>
      <c r="M11" s="4">
        <v>1</v>
      </c>
      <c r="N11" s="4">
        <v>1</v>
      </c>
      <c r="O11" s="4"/>
      <c r="P11" s="4"/>
      <c r="Q11" s="4"/>
      <c r="R11" s="4"/>
      <c r="S11" s="4"/>
      <c r="T11" s="4"/>
      <c r="U11" s="4"/>
      <c r="V11" s="4">
        <v>1</v>
      </c>
      <c r="W11" s="4"/>
      <c r="X11" s="4"/>
      <c r="Y11" s="4"/>
      <c r="Z11" s="4"/>
      <c r="AA11" s="4"/>
      <c r="AB11" s="4"/>
      <c r="AC11" s="4"/>
      <c r="AD11" s="4">
        <v>1</v>
      </c>
      <c r="AE11" s="4"/>
      <c r="AF11" s="4"/>
      <c r="AG11" s="4"/>
      <c r="AH11" s="4"/>
      <c r="AI11" s="4">
        <v>1</v>
      </c>
      <c r="AJ11" s="4"/>
      <c r="AK11" s="4"/>
      <c r="AL11" s="4"/>
      <c r="AM11" s="4"/>
      <c r="AN11" s="4"/>
      <c r="AO11" s="4"/>
      <c r="AP11" s="4">
        <f t="shared" si="2"/>
        <v>5</v>
      </c>
    </row>
    <row r="12" spans="1:42" ht="30" customHeight="1" x14ac:dyDescent="0.25">
      <c r="A12" s="4" t="s">
        <v>118</v>
      </c>
      <c r="B12" s="4" t="s">
        <v>119</v>
      </c>
      <c r="C12" s="4" t="s">
        <v>120</v>
      </c>
      <c r="D12" s="4" t="s">
        <v>121</v>
      </c>
      <c r="E12" s="4" t="s">
        <v>122</v>
      </c>
      <c r="F12" s="4" t="s">
        <v>123</v>
      </c>
      <c r="G12" s="4" t="s">
        <v>23</v>
      </c>
      <c r="H12" s="4" t="s">
        <v>124</v>
      </c>
      <c r="I12" s="4">
        <v>296</v>
      </c>
      <c r="J12" s="4">
        <v>373</v>
      </c>
      <c r="K12" s="4">
        <f t="shared" si="0"/>
        <v>77</v>
      </c>
      <c r="L12" s="4"/>
      <c r="M12" s="4">
        <v>1</v>
      </c>
      <c r="N12" s="4"/>
      <c r="O12" s="4"/>
      <c r="P12" s="4"/>
      <c r="Q12" s="4"/>
      <c r="R12" s="4"/>
      <c r="S12" s="4"/>
      <c r="T12" s="4"/>
      <c r="U12" s="4">
        <v>1</v>
      </c>
      <c r="V12" s="4"/>
      <c r="W12" s="4"/>
      <c r="X12" s="4"/>
      <c r="Y12" s="4"/>
      <c r="Z12" s="4"/>
      <c r="AA12" s="4">
        <v>1</v>
      </c>
      <c r="AB12" s="4"/>
      <c r="AC12" s="4">
        <v>1</v>
      </c>
      <c r="AD12" s="4">
        <v>1</v>
      </c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>
        <f t="shared" si="2"/>
        <v>5</v>
      </c>
    </row>
    <row r="13" spans="1:42" ht="30" customHeight="1" x14ac:dyDescent="0.25">
      <c r="A13" s="4" t="s">
        <v>125</v>
      </c>
      <c r="B13" s="4" t="s">
        <v>126</v>
      </c>
      <c r="C13" s="4" t="s">
        <v>127</v>
      </c>
      <c r="D13" s="4" t="s">
        <v>128</v>
      </c>
      <c r="E13" s="4" t="s">
        <v>129</v>
      </c>
      <c r="F13" s="4" t="s">
        <v>130</v>
      </c>
      <c r="G13" s="4" t="s">
        <v>37</v>
      </c>
      <c r="H13" s="4" t="s">
        <v>131</v>
      </c>
      <c r="I13" s="4">
        <v>329</v>
      </c>
      <c r="J13" s="4">
        <v>379</v>
      </c>
      <c r="K13" s="4">
        <f t="shared" si="0"/>
        <v>50</v>
      </c>
      <c r="L13" s="4"/>
      <c r="M13" s="4"/>
      <c r="N13" s="4"/>
      <c r="O13" s="4"/>
      <c r="P13" s="4"/>
      <c r="Q13" s="4"/>
      <c r="R13" s="4"/>
      <c r="S13" s="4"/>
      <c r="T13" s="4"/>
      <c r="U13" s="4">
        <v>1</v>
      </c>
      <c r="V13" s="4"/>
      <c r="W13" s="4"/>
      <c r="X13" s="4"/>
      <c r="Y13" s="4"/>
      <c r="Z13" s="4"/>
      <c r="AA13" s="4">
        <v>1</v>
      </c>
      <c r="AB13" s="4"/>
      <c r="AC13" s="4"/>
      <c r="AD13" s="4">
        <v>1</v>
      </c>
      <c r="AE13" s="4"/>
      <c r="AF13" s="4"/>
      <c r="AG13" s="4"/>
      <c r="AH13" s="4"/>
      <c r="AI13" s="4">
        <v>1</v>
      </c>
      <c r="AJ13" s="4"/>
      <c r="AK13" s="4"/>
      <c r="AL13" s="4"/>
      <c r="AM13" s="4"/>
      <c r="AN13" s="4">
        <v>1</v>
      </c>
      <c r="AO13" s="4"/>
      <c r="AP13" s="4">
        <f t="shared" si="2"/>
        <v>5</v>
      </c>
    </row>
    <row r="14" spans="1:42" ht="30" customHeight="1" x14ac:dyDescent="0.25">
      <c r="A14" s="4" t="s">
        <v>132</v>
      </c>
      <c r="B14" s="4" t="s">
        <v>133</v>
      </c>
      <c r="C14" s="4" t="s">
        <v>134</v>
      </c>
      <c r="D14" s="4" t="s">
        <v>135</v>
      </c>
      <c r="E14" s="4" t="s">
        <v>136</v>
      </c>
      <c r="F14" s="4" t="s">
        <v>137</v>
      </c>
      <c r="G14" s="4" t="s">
        <v>138</v>
      </c>
      <c r="H14" s="4" t="s">
        <v>139</v>
      </c>
      <c r="I14" s="4">
        <v>672</v>
      </c>
      <c r="J14" s="4">
        <v>735</v>
      </c>
      <c r="K14" s="4">
        <f t="shared" si="0"/>
        <v>63</v>
      </c>
      <c r="L14" s="4"/>
      <c r="M14" s="4"/>
      <c r="N14" s="4">
        <v>1</v>
      </c>
      <c r="O14" s="4"/>
      <c r="P14" s="4"/>
      <c r="Q14" s="4">
        <v>1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>
        <v>1</v>
      </c>
      <c r="AE14" s="4"/>
      <c r="AF14" s="4">
        <v>1</v>
      </c>
      <c r="AG14" s="4"/>
      <c r="AH14" s="4"/>
      <c r="AI14" s="4">
        <v>1</v>
      </c>
      <c r="AJ14" s="4"/>
      <c r="AK14" s="4"/>
      <c r="AL14" s="4"/>
      <c r="AM14" s="4"/>
      <c r="AN14" s="4"/>
      <c r="AO14" s="4"/>
      <c r="AP14" s="4">
        <f t="shared" si="2"/>
        <v>5</v>
      </c>
    </row>
    <row r="15" spans="1:42" ht="30" customHeight="1" x14ac:dyDescent="0.25">
      <c r="A15" s="4" t="s">
        <v>140</v>
      </c>
      <c r="B15" s="4" t="s">
        <v>141</v>
      </c>
      <c r="C15" s="4" t="s">
        <v>91</v>
      </c>
      <c r="D15" s="4" t="s">
        <v>142</v>
      </c>
      <c r="E15" s="4" t="s">
        <v>143</v>
      </c>
      <c r="F15" s="4" t="s">
        <v>144</v>
      </c>
      <c r="G15" s="4" t="s">
        <v>145</v>
      </c>
      <c r="H15" s="4" t="s">
        <v>146</v>
      </c>
      <c r="I15" s="4">
        <v>480</v>
      </c>
      <c r="J15" s="4">
        <v>547</v>
      </c>
      <c r="K15" s="4">
        <f t="shared" si="0"/>
        <v>67</v>
      </c>
      <c r="L15" s="4"/>
      <c r="M15" s="4"/>
      <c r="N15" s="4"/>
      <c r="O15" s="4"/>
      <c r="P15" s="4"/>
      <c r="Q15" s="4"/>
      <c r="R15" s="4"/>
      <c r="S15" s="4"/>
      <c r="T15" s="4"/>
      <c r="U15" s="4">
        <v>1</v>
      </c>
      <c r="V15" s="4">
        <v>1</v>
      </c>
      <c r="W15" s="4"/>
      <c r="X15" s="4"/>
      <c r="Y15" s="4"/>
      <c r="Z15" s="4"/>
      <c r="AA15" s="4"/>
      <c r="AB15" s="4"/>
      <c r="AC15" s="4">
        <v>1</v>
      </c>
      <c r="AD15" s="4"/>
      <c r="AE15" s="4"/>
      <c r="AF15" s="4"/>
      <c r="AG15" s="4"/>
      <c r="AH15" s="4"/>
      <c r="AI15" s="4">
        <v>1</v>
      </c>
      <c r="AJ15" s="4"/>
      <c r="AK15" s="4"/>
      <c r="AL15" s="4"/>
      <c r="AM15" s="4"/>
      <c r="AN15" s="4">
        <v>1</v>
      </c>
      <c r="AO15" s="4"/>
      <c r="AP15" s="4">
        <f t="shared" si="2"/>
        <v>5</v>
      </c>
    </row>
    <row r="16" spans="1:42" ht="30" customHeight="1" x14ac:dyDescent="0.25">
      <c r="A16" s="4" t="s">
        <v>147</v>
      </c>
      <c r="B16" s="4" t="s">
        <v>148</v>
      </c>
      <c r="C16" s="4" t="s">
        <v>149</v>
      </c>
      <c r="D16" s="4" t="s">
        <v>150</v>
      </c>
      <c r="E16" s="4" t="s">
        <v>151</v>
      </c>
      <c r="F16" s="4" t="s">
        <v>152</v>
      </c>
      <c r="G16" s="4" t="s">
        <v>45</v>
      </c>
      <c r="H16" s="4" t="s">
        <v>153</v>
      </c>
      <c r="I16" s="4">
        <v>1844</v>
      </c>
      <c r="J16" s="4">
        <v>1879</v>
      </c>
      <c r="K16" s="4">
        <f t="shared" si="0"/>
        <v>35</v>
      </c>
      <c r="L16" s="4">
        <v>1</v>
      </c>
      <c r="M16" s="4"/>
      <c r="N16" s="4">
        <v>1</v>
      </c>
      <c r="O16" s="4"/>
      <c r="P16" s="4"/>
      <c r="Q16" s="4">
        <v>1</v>
      </c>
      <c r="R16" s="4"/>
      <c r="S16" s="4"/>
      <c r="T16" s="4"/>
      <c r="U16" s="4"/>
      <c r="V16" s="4"/>
      <c r="W16" s="4"/>
      <c r="X16" s="4"/>
      <c r="Y16" s="4"/>
      <c r="Z16" s="4"/>
      <c r="AA16" s="4">
        <v>1</v>
      </c>
      <c r="AB16" s="4"/>
      <c r="AC16" s="4"/>
      <c r="AD16" s="4"/>
      <c r="AE16" s="4"/>
      <c r="AF16" s="4"/>
      <c r="AG16" s="4"/>
      <c r="AH16" s="4"/>
      <c r="AI16" s="4">
        <v>1</v>
      </c>
      <c r="AJ16" s="4"/>
      <c r="AK16" s="4"/>
      <c r="AL16" s="4"/>
      <c r="AM16" s="4"/>
      <c r="AN16" s="4"/>
      <c r="AO16" s="4"/>
      <c r="AP16" s="4">
        <f t="shared" si="2"/>
        <v>5</v>
      </c>
    </row>
    <row r="17" spans="1:42" ht="30" customHeight="1" x14ac:dyDescent="0.25">
      <c r="A17" s="4" t="s">
        <v>154</v>
      </c>
      <c r="B17" s="4" t="s">
        <v>155</v>
      </c>
      <c r="C17" s="4" t="s">
        <v>149</v>
      </c>
      <c r="D17" s="4" t="s">
        <v>156</v>
      </c>
      <c r="E17" s="4" t="s">
        <v>157</v>
      </c>
      <c r="F17" s="4" t="s">
        <v>158</v>
      </c>
      <c r="G17" s="4" t="s">
        <v>50</v>
      </c>
      <c r="H17" s="4" t="s">
        <v>159</v>
      </c>
      <c r="I17" s="4">
        <v>1090</v>
      </c>
      <c r="J17" s="4">
        <v>1153</v>
      </c>
      <c r="K17" s="4">
        <f t="shared" si="0"/>
        <v>63</v>
      </c>
      <c r="L17" s="4"/>
      <c r="M17" s="4">
        <v>1</v>
      </c>
      <c r="N17" s="4"/>
      <c r="O17" s="4"/>
      <c r="P17" s="4"/>
      <c r="Q17" s="4"/>
      <c r="R17" s="4"/>
      <c r="S17" s="4"/>
      <c r="T17" s="4"/>
      <c r="U17" s="4">
        <v>1</v>
      </c>
      <c r="V17" s="4"/>
      <c r="W17" s="4"/>
      <c r="X17" s="4"/>
      <c r="Y17" s="4"/>
      <c r="Z17" s="4"/>
      <c r="AA17" s="4"/>
      <c r="AB17" s="4"/>
      <c r="AC17" s="4">
        <v>1</v>
      </c>
      <c r="AD17" s="4"/>
      <c r="AE17" s="4"/>
      <c r="AF17" s="4"/>
      <c r="AG17" s="4"/>
      <c r="AH17" s="4"/>
      <c r="AI17" s="4">
        <v>1</v>
      </c>
      <c r="AJ17" s="4"/>
      <c r="AK17" s="4"/>
      <c r="AL17" s="4"/>
      <c r="AM17" s="4"/>
      <c r="AN17" s="4">
        <v>1</v>
      </c>
      <c r="AO17" s="4"/>
      <c r="AP17" s="4">
        <f t="shared" si="2"/>
        <v>5</v>
      </c>
    </row>
    <row r="18" spans="1:42" ht="30" customHeight="1" x14ac:dyDescent="0.25">
      <c r="A18" s="4" t="s">
        <v>160</v>
      </c>
      <c r="B18" s="4" t="s">
        <v>161</v>
      </c>
      <c r="C18" s="4" t="s">
        <v>162</v>
      </c>
      <c r="D18" s="4" t="s">
        <v>163</v>
      </c>
      <c r="E18" s="4" t="s">
        <v>164</v>
      </c>
      <c r="F18" s="4" t="s">
        <v>165</v>
      </c>
      <c r="G18" s="4" t="s">
        <v>23</v>
      </c>
      <c r="H18" s="4" t="s">
        <v>166</v>
      </c>
      <c r="I18" s="4">
        <v>280</v>
      </c>
      <c r="J18" s="4">
        <v>316</v>
      </c>
      <c r="K18" s="4">
        <f t="shared" si="0"/>
        <v>36</v>
      </c>
      <c r="L18" s="4"/>
      <c r="M18" s="4">
        <v>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>
        <f>SUM(L18:AN18)</f>
        <v>1</v>
      </c>
    </row>
    <row r="19" spans="1:42" ht="30" customHeight="1" x14ac:dyDescent="0.25">
      <c r="A19" s="4" t="s">
        <v>167</v>
      </c>
      <c r="B19" s="4" t="s">
        <v>168</v>
      </c>
      <c r="C19" s="4" t="s">
        <v>169</v>
      </c>
      <c r="D19" s="4" t="s">
        <v>170</v>
      </c>
      <c r="E19" s="4" t="s">
        <v>171</v>
      </c>
      <c r="F19" s="4" t="s">
        <v>172</v>
      </c>
      <c r="G19" s="4" t="s">
        <v>29</v>
      </c>
      <c r="H19" s="4" t="s">
        <v>173</v>
      </c>
      <c r="I19" s="4">
        <v>1303</v>
      </c>
      <c r="J19" s="4">
        <v>1373</v>
      </c>
      <c r="K19" s="4">
        <f t="shared" si="0"/>
        <v>70</v>
      </c>
      <c r="L19" s="4"/>
      <c r="M19" s="4"/>
      <c r="N19" s="4"/>
      <c r="O19" s="4"/>
      <c r="P19" s="4"/>
      <c r="Q19" s="4"/>
      <c r="R19" s="4">
        <v>1</v>
      </c>
      <c r="S19" s="4"/>
      <c r="T19" s="4"/>
      <c r="U19" s="4">
        <v>1</v>
      </c>
      <c r="V19" s="4"/>
      <c r="W19" s="4"/>
      <c r="X19" s="4"/>
      <c r="Y19" s="4"/>
      <c r="Z19" s="4"/>
      <c r="AA19" s="4"/>
      <c r="AB19" s="4"/>
      <c r="AC19" s="4">
        <v>1</v>
      </c>
      <c r="AD19" s="4"/>
      <c r="AE19" s="4"/>
      <c r="AF19" s="4"/>
      <c r="AG19" s="4"/>
      <c r="AH19" s="4"/>
      <c r="AI19" s="4">
        <v>1</v>
      </c>
      <c r="AJ19" s="4"/>
      <c r="AK19" s="4"/>
      <c r="AL19" s="4"/>
      <c r="AM19" s="4"/>
      <c r="AN19" s="4">
        <v>1</v>
      </c>
      <c r="AO19" s="4"/>
      <c r="AP19" s="4">
        <f>SUM(L19:AO19)</f>
        <v>5</v>
      </c>
    </row>
    <row r="20" spans="1:42" ht="30" customHeight="1" x14ac:dyDescent="0.25">
      <c r="A20" s="4" t="s">
        <v>174</v>
      </c>
      <c r="B20" s="4" t="s">
        <v>175</v>
      </c>
      <c r="C20" s="4" t="s">
        <v>91</v>
      </c>
      <c r="D20" s="4" t="s">
        <v>176</v>
      </c>
      <c r="E20" s="4" t="s">
        <v>177</v>
      </c>
      <c r="F20" s="4" t="s">
        <v>178</v>
      </c>
      <c r="G20" s="4" t="s">
        <v>42</v>
      </c>
      <c r="H20" s="4" t="s">
        <v>179</v>
      </c>
      <c r="I20" s="4">
        <v>1217</v>
      </c>
      <c r="J20" s="4">
        <v>1274</v>
      </c>
      <c r="K20" s="4">
        <f t="shared" si="0"/>
        <v>57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>
        <v>1</v>
      </c>
      <c r="AG20" s="4"/>
      <c r="AH20" s="4"/>
      <c r="AI20" s="4"/>
      <c r="AJ20" s="4"/>
      <c r="AK20" s="4"/>
      <c r="AL20" s="4"/>
      <c r="AM20" s="4"/>
      <c r="AN20" s="4"/>
      <c r="AO20" s="4"/>
      <c r="AP20" s="4">
        <f>SUM(L20:AN20)</f>
        <v>1</v>
      </c>
    </row>
    <row r="21" spans="1:42" ht="30" customHeight="1" x14ac:dyDescent="0.25">
      <c r="A21" s="4" t="s">
        <v>180</v>
      </c>
      <c r="B21" s="4" t="s">
        <v>181</v>
      </c>
      <c r="C21" s="4" t="s">
        <v>91</v>
      </c>
      <c r="D21" s="4" t="s">
        <v>182</v>
      </c>
      <c r="E21" s="4" t="s">
        <v>183</v>
      </c>
      <c r="F21" s="4" t="s">
        <v>184</v>
      </c>
      <c r="G21" s="4" t="s">
        <v>37</v>
      </c>
      <c r="H21" s="4" t="s">
        <v>185</v>
      </c>
      <c r="I21" s="4">
        <v>1550</v>
      </c>
      <c r="J21" s="4">
        <v>1614</v>
      </c>
      <c r="K21" s="4">
        <f t="shared" si="0"/>
        <v>64</v>
      </c>
      <c r="L21" s="4"/>
      <c r="M21" s="4">
        <v>1</v>
      </c>
      <c r="N21" s="4"/>
      <c r="O21" s="4"/>
      <c r="P21" s="4"/>
      <c r="Q21" s="4">
        <v>1</v>
      </c>
      <c r="R21" s="4"/>
      <c r="S21" s="4"/>
      <c r="T21" s="4"/>
      <c r="U21" s="4"/>
      <c r="V21" s="4"/>
      <c r="W21" s="4"/>
      <c r="X21" s="4"/>
      <c r="Y21" s="4"/>
      <c r="Z21" s="4"/>
      <c r="AA21" s="4">
        <v>1</v>
      </c>
      <c r="AB21" s="4"/>
      <c r="AC21" s="4"/>
      <c r="AD21" s="4"/>
      <c r="AE21" s="4"/>
      <c r="AF21" s="4"/>
      <c r="AG21" s="4"/>
      <c r="AH21" s="4"/>
      <c r="AI21" s="4">
        <v>1</v>
      </c>
      <c r="AJ21" s="4">
        <v>1</v>
      </c>
      <c r="AK21" s="4"/>
      <c r="AL21" s="4"/>
      <c r="AM21" s="4"/>
      <c r="AN21" s="4">
        <v>1</v>
      </c>
      <c r="AO21" s="4"/>
      <c r="AP21" s="4">
        <f>SUM(L21:AO21)</f>
        <v>6</v>
      </c>
    </row>
    <row r="22" spans="1:42" ht="30" customHeight="1" x14ac:dyDescent="0.25">
      <c r="A22" s="4" t="s">
        <v>186</v>
      </c>
      <c r="B22" s="4" t="s">
        <v>187</v>
      </c>
      <c r="C22" s="4" t="s">
        <v>188</v>
      </c>
      <c r="D22" s="4" t="s">
        <v>189</v>
      </c>
      <c r="E22" s="4" t="s">
        <v>190</v>
      </c>
      <c r="F22" s="4" t="s">
        <v>191</v>
      </c>
      <c r="G22" s="4" t="s">
        <v>192</v>
      </c>
      <c r="H22" s="4" t="s">
        <v>193</v>
      </c>
      <c r="I22" s="4">
        <v>1042</v>
      </c>
      <c r="J22" s="4">
        <v>1086</v>
      </c>
      <c r="K22" s="4">
        <f t="shared" si="0"/>
        <v>44</v>
      </c>
      <c r="L22" s="4"/>
      <c r="M22" s="4"/>
      <c r="N22" s="4"/>
      <c r="O22" s="4"/>
      <c r="P22" s="4"/>
      <c r="Q22" s="4"/>
      <c r="R22" s="4"/>
      <c r="S22" s="4"/>
      <c r="T22" s="4"/>
      <c r="U22" s="4">
        <v>1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f>SUM(L22:AN22)</f>
        <v>1</v>
      </c>
    </row>
    <row r="23" spans="1:42" ht="30" customHeight="1" x14ac:dyDescent="0.25">
      <c r="A23" s="4" t="s">
        <v>194</v>
      </c>
      <c r="B23" s="4" t="s">
        <v>195</v>
      </c>
      <c r="C23" s="4" t="s">
        <v>91</v>
      </c>
      <c r="D23" s="4" t="s">
        <v>196</v>
      </c>
      <c r="E23" s="4" t="s">
        <v>197</v>
      </c>
      <c r="F23" s="4" t="s">
        <v>198</v>
      </c>
      <c r="G23" s="4" t="s">
        <v>23</v>
      </c>
      <c r="H23" s="4" t="s">
        <v>199</v>
      </c>
      <c r="I23" s="4">
        <v>1347</v>
      </c>
      <c r="J23" s="4">
        <v>1380</v>
      </c>
      <c r="K23" s="4">
        <f t="shared" si="0"/>
        <v>33</v>
      </c>
      <c r="L23" s="4"/>
      <c r="M23" s="4">
        <v>1</v>
      </c>
      <c r="N23" s="4">
        <v>1</v>
      </c>
      <c r="O23" s="4"/>
      <c r="P23" s="4"/>
      <c r="Q23" s="4"/>
      <c r="R23" s="4"/>
      <c r="S23" s="4">
        <v>1</v>
      </c>
      <c r="T23" s="4"/>
      <c r="U23" s="4">
        <v>1</v>
      </c>
      <c r="V23" s="4"/>
      <c r="W23" s="4"/>
      <c r="X23" s="4"/>
      <c r="Y23" s="4"/>
      <c r="Z23" s="4"/>
      <c r="AA23" s="4"/>
      <c r="AB23" s="4"/>
      <c r="AC23" s="4"/>
      <c r="AD23" s="4">
        <v>1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>
        <f>SUM(L23:AO23)</f>
        <v>5</v>
      </c>
    </row>
    <row r="24" spans="1:42" ht="30" customHeight="1" x14ac:dyDescent="0.25">
      <c r="A24" s="4" t="s">
        <v>200</v>
      </c>
      <c r="B24" s="4" t="s">
        <v>201</v>
      </c>
      <c r="C24" s="4" t="s">
        <v>149</v>
      </c>
      <c r="D24" s="4" t="s">
        <v>202</v>
      </c>
      <c r="E24" s="4" t="s">
        <v>203</v>
      </c>
      <c r="F24" s="4" t="s">
        <v>204</v>
      </c>
      <c r="G24" s="4" t="s">
        <v>45</v>
      </c>
      <c r="H24" s="4" t="s">
        <v>205</v>
      </c>
      <c r="I24" s="4">
        <v>1806</v>
      </c>
      <c r="J24" s="4">
        <v>1876</v>
      </c>
      <c r="K24" s="4">
        <f t="shared" si="0"/>
        <v>70</v>
      </c>
      <c r="L24" s="4"/>
      <c r="M24" s="4"/>
      <c r="N24" s="4"/>
      <c r="O24" s="4"/>
      <c r="P24" s="4"/>
      <c r="Q24" s="4"/>
      <c r="R24" s="4"/>
      <c r="S24" s="4">
        <v>1</v>
      </c>
      <c r="T24" s="4"/>
      <c r="U24" s="4">
        <v>1</v>
      </c>
      <c r="V24" s="4"/>
      <c r="W24" s="4"/>
      <c r="X24" s="4"/>
      <c r="Y24" s="4"/>
      <c r="Z24" s="4"/>
      <c r="AA24" s="4"/>
      <c r="AB24" s="4"/>
      <c r="AC24" s="4">
        <v>1</v>
      </c>
      <c r="AD24" s="4">
        <v>1</v>
      </c>
      <c r="AE24" s="4"/>
      <c r="AF24" s="4"/>
      <c r="AG24" s="4"/>
      <c r="AH24" s="4"/>
      <c r="AI24" s="4">
        <v>1</v>
      </c>
      <c r="AJ24" s="4"/>
      <c r="AK24" s="4"/>
      <c r="AL24" s="4"/>
      <c r="AM24" s="4"/>
      <c r="AN24" s="4"/>
      <c r="AO24" s="4"/>
      <c r="AP24" s="4">
        <f>SUM(L24:AO24)</f>
        <v>5</v>
      </c>
    </row>
    <row r="25" spans="1:42" ht="30" customHeight="1" x14ac:dyDescent="0.25">
      <c r="A25" s="4" t="s">
        <v>206</v>
      </c>
      <c r="B25" s="4" t="s">
        <v>207</v>
      </c>
      <c r="C25" s="4" t="s">
        <v>91</v>
      </c>
      <c r="D25" s="4" t="s">
        <v>208</v>
      </c>
      <c r="E25" s="4" t="s">
        <v>209</v>
      </c>
      <c r="F25" s="4" t="s">
        <v>210</v>
      </c>
      <c r="G25" s="4" t="s">
        <v>37</v>
      </c>
      <c r="H25" s="4" t="s">
        <v>211</v>
      </c>
      <c r="I25" s="4">
        <v>1480</v>
      </c>
      <c r="J25" s="4">
        <v>1547</v>
      </c>
      <c r="K25" s="4">
        <f t="shared" si="0"/>
        <v>67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>
        <v>1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f>SUM(L25:AN25)</f>
        <v>1</v>
      </c>
    </row>
    <row r="26" spans="1:42" ht="30" customHeight="1" x14ac:dyDescent="0.25">
      <c r="A26" s="4" t="s">
        <v>212</v>
      </c>
      <c r="B26" s="4" t="s">
        <v>213</v>
      </c>
      <c r="C26" s="4" t="s">
        <v>91</v>
      </c>
      <c r="D26" s="4" t="s">
        <v>214</v>
      </c>
      <c r="E26" s="4" t="s">
        <v>215</v>
      </c>
      <c r="F26" s="4" t="s">
        <v>216</v>
      </c>
      <c r="G26" s="4" t="s">
        <v>23</v>
      </c>
      <c r="H26" s="4" t="s">
        <v>217</v>
      </c>
      <c r="I26" s="4">
        <v>200</v>
      </c>
      <c r="J26" s="4">
        <v>230</v>
      </c>
      <c r="K26" s="4">
        <f t="shared" si="0"/>
        <v>30</v>
      </c>
      <c r="L26" s="4"/>
      <c r="M26" s="4">
        <v>1</v>
      </c>
      <c r="N26" s="4">
        <v>1</v>
      </c>
      <c r="O26" s="4"/>
      <c r="P26" s="4"/>
      <c r="Q26" s="4">
        <v>1</v>
      </c>
      <c r="R26" s="4"/>
      <c r="S26" s="4"/>
      <c r="T26" s="4"/>
      <c r="U26" s="4"/>
      <c r="V26" s="4"/>
      <c r="W26" s="4"/>
      <c r="X26" s="4"/>
      <c r="Y26" s="4"/>
      <c r="Z26" s="4"/>
      <c r="AA26" s="4">
        <v>1</v>
      </c>
      <c r="AB26" s="4"/>
      <c r="AC26" s="4"/>
      <c r="AD26" s="4"/>
      <c r="AE26" s="4"/>
      <c r="AF26" s="4"/>
      <c r="AG26" s="4"/>
      <c r="AH26" s="4"/>
      <c r="AI26" s="4">
        <v>1</v>
      </c>
      <c r="AJ26" s="4"/>
      <c r="AK26" s="4"/>
      <c r="AL26" s="4"/>
      <c r="AM26" s="4"/>
      <c r="AN26" s="4"/>
      <c r="AO26" s="4"/>
      <c r="AP26" s="4">
        <f>SUM(L26:AO26)</f>
        <v>5</v>
      </c>
    </row>
    <row r="27" spans="1:42" ht="30" customHeight="1" x14ac:dyDescent="0.25">
      <c r="A27" s="4" t="s">
        <v>218</v>
      </c>
      <c r="B27" s="4" t="s">
        <v>219</v>
      </c>
      <c r="C27" s="4" t="s">
        <v>149</v>
      </c>
      <c r="D27" s="4" t="s">
        <v>220</v>
      </c>
      <c r="E27" s="4" t="s">
        <v>221</v>
      </c>
      <c r="F27" s="4" t="s">
        <v>222</v>
      </c>
      <c r="G27" s="4" t="s">
        <v>45</v>
      </c>
      <c r="H27" s="4" t="s">
        <v>223</v>
      </c>
      <c r="I27" s="4">
        <v>1858</v>
      </c>
      <c r="J27" s="4">
        <v>1916</v>
      </c>
      <c r="K27" s="4">
        <f t="shared" si="0"/>
        <v>58</v>
      </c>
      <c r="L27" s="4"/>
      <c r="M27" s="4"/>
      <c r="N27" s="4">
        <v>1</v>
      </c>
      <c r="O27" s="4"/>
      <c r="P27" s="4"/>
      <c r="Q27" s="4"/>
      <c r="R27" s="4"/>
      <c r="S27" s="4"/>
      <c r="T27" s="4"/>
      <c r="U27" s="4">
        <v>1</v>
      </c>
      <c r="V27" s="4"/>
      <c r="W27" s="4"/>
      <c r="X27" s="4"/>
      <c r="Y27" s="4"/>
      <c r="Z27" s="4"/>
      <c r="AA27" s="4"/>
      <c r="AB27" s="4"/>
      <c r="AC27" s="4">
        <v>1</v>
      </c>
      <c r="AD27" s="4"/>
      <c r="AE27" s="4"/>
      <c r="AF27" s="4"/>
      <c r="AG27" s="4"/>
      <c r="AH27" s="4"/>
      <c r="AI27" s="4">
        <v>1</v>
      </c>
      <c r="AJ27" s="4"/>
      <c r="AK27" s="4"/>
      <c r="AL27" s="4"/>
      <c r="AM27" s="4"/>
      <c r="AN27" s="4">
        <v>1</v>
      </c>
      <c r="AO27" s="4"/>
      <c r="AP27" s="4">
        <f>SUM(L27:AO27)</f>
        <v>5</v>
      </c>
    </row>
    <row r="28" spans="1:42" ht="30" customHeight="1" x14ac:dyDescent="0.25">
      <c r="A28" s="4" t="s">
        <v>224</v>
      </c>
      <c r="B28" s="4" t="s">
        <v>225</v>
      </c>
      <c r="C28" s="4" t="s">
        <v>226</v>
      </c>
      <c r="D28" s="4" t="s">
        <v>227</v>
      </c>
      <c r="E28" s="4" t="s">
        <v>228</v>
      </c>
      <c r="F28" s="4" t="s">
        <v>229</v>
      </c>
      <c r="G28" s="4" t="s">
        <v>230</v>
      </c>
      <c r="H28" s="4" t="s">
        <v>231</v>
      </c>
      <c r="I28" s="4">
        <v>210</v>
      </c>
      <c r="J28" s="4">
        <v>258</v>
      </c>
      <c r="K28" s="4">
        <f t="shared" si="0"/>
        <v>48</v>
      </c>
      <c r="L28" s="4">
        <v>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>
        <f>SUM(L28:AN28)</f>
        <v>1</v>
      </c>
    </row>
    <row r="29" spans="1:42" ht="30" customHeight="1" x14ac:dyDescent="0.25">
      <c r="A29" s="4" t="s">
        <v>232</v>
      </c>
      <c r="B29" s="4" t="s">
        <v>233</v>
      </c>
      <c r="C29" s="4" t="s">
        <v>91</v>
      </c>
      <c r="D29" s="4" t="s">
        <v>234</v>
      </c>
      <c r="E29" s="4" t="s">
        <v>235</v>
      </c>
      <c r="F29" s="4" t="s">
        <v>236</v>
      </c>
      <c r="G29" s="4" t="s">
        <v>237</v>
      </c>
      <c r="H29" s="4" t="s">
        <v>238</v>
      </c>
      <c r="I29" s="4">
        <v>1194</v>
      </c>
      <c r="J29" s="4">
        <v>1253</v>
      </c>
      <c r="K29" s="4">
        <f t="shared" si="0"/>
        <v>59</v>
      </c>
      <c r="L29" s="4"/>
      <c r="M29" s="4">
        <v>1</v>
      </c>
      <c r="N29" s="4"/>
      <c r="O29" s="4"/>
      <c r="P29" s="4"/>
      <c r="Q29" s="4"/>
      <c r="R29" s="4"/>
      <c r="S29" s="4"/>
      <c r="T29" s="4"/>
      <c r="U29" s="4">
        <v>1</v>
      </c>
      <c r="V29" s="4"/>
      <c r="W29" s="4"/>
      <c r="X29" s="4"/>
      <c r="Y29" s="4"/>
      <c r="Z29" s="4"/>
      <c r="AA29" s="4"/>
      <c r="AB29" s="4"/>
      <c r="AC29" s="4">
        <v>1</v>
      </c>
      <c r="AD29" s="4"/>
      <c r="AE29" s="4"/>
      <c r="AF29" s="4"/>
      <c r="AG29" s="4"/>
      <c r="AH29" s="4"/>
      <c r="AI29" s="4">
        <v>1</v>
      </c>
      <c r="AJ29" s="4"/>
      <c r="AK29" s="4"/>
      <c r="AL29" s="4"/>
      <c r="AM29" s="4"/>
      <c r="AN29" s="4">
        <v>1</v>
      </c>
      <c r="AO29" s="4"/>
      <c r="AP29" s="4">
        <f>SUM(L29:AO29)</f>
        <v>5</v>
      </c>
    </row>
    <row r="30" spans="1:42" ht="30" customHeight="1" x14ac:dyDescent="0.25">
      <c r="A30" s="4" t="s">
        <v>239</v>
      </c>
      <c r="B30" s="4" t="s">
        <v>240</v>
      </c>
      <c r="C30" s="4" t="s">
        <v>127</v>
      </c>
      <c r="D30" s="4" t="s">
        <v>241</v>
      </c>
      <c r="E30" s="4" t="s">
        <v>242</v>
      </c>
      <c r="F30" s="4" t="s">
        <v>243</v>
      </c>
      <c r="G30" s="4" t="s">
        <v>37</v>
      </c>
      <c r="H30" s="4" t="s">
        <v>244</v>
      </c>
      <c r="I30" s="4">
        <v>260</v>
      </c>
      <c r="J30" s="4">
        <v>303</v>
      </c>
      <c r="K30" s="4">
        <f t="shared" si="0"/>
        <v>43</v>
      </c>
      <c r="L30" s="4"/>
      <c r="M30" s="4">
        <v>1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>
        <v>1</v>
      </c>
      <c r="AB30" s="4"/>
      <c r="AC30" s="4">
        <v>1</v>
      </c>
      <c r="AD30" s="4"/>
      <c r="AE30" s="4"/>
      <c r="AF30" s="4"/>
      <c r="AG30" s="4"/>
      <c r="AH30" s="4"/>
      <c r="AI30" s="4">
        <v>1</v>
      </c>
      <c r="AJ30" s="4"/>
      <c r="AK30" s="4"/>
      <c r="AL30" s="4"/>
      <c r="AM30" s="4"/>
      <c r="AN30" s="4">
        <v>1</v>
      </c>
      <c r="AO30" s="4"/>
      <c r="AP30" s="4">
        <f>SUM(L30:AO30)</f>
        <v>5</v>
      </c>
    </row>
    <row r="31" spans="1:42" ht="30" customHeight="1" x14ac:dyDescent="0.25">
      <c r="A31" s="4" t="s">
        <v>245</v>
      </c>
      <c r="B31" s="4" t="s">
        <v>246</v>
      </c>
      <c r="C31" s="4" t="s">
        <v>75</v>
      </c>
      <c r="D31" s="4" t="s">
        <v>247</v>
      </c>
      <c r="E31" s="4" t="s">
        <v>248</v>
      </c>
      <c r="F31" s="4" t="s">
        <v>249</v>
      </c>
      <c r="G31" s="4" t="s">
        <v>95</v>
      </c>
      <c r="H31" s="4" t="s">
        <v>250</v>
      </c>
      <c r="I31" s="4">
        <v>250</v>
      </c>
      <c r="J31" s="4">
        <v>308</v>
      </c>
      <c r="K31" s="4">
        <f t="shared" si="0"/>
        <v>58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>
        <v>1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>
        <f>SUM(L31:AN31)</f>
        <v>1</v>
      </c>
    </row>
    <row r="32" spans="1:42" ht="30" customHeight="1" x14ac:dyDescent="0.25">
      <c r="A32" s="4" t="s">
        <v>251</v>
      </c>
      <c r="B32" s="4" t="s">
        <v>240</v>
      </c>
      <c r="C32" s="4" t="s">
        <v>127</v>
      </c>
      <c r="D32" s="4" t="s">
        <v>241</v>
      </c>
      <c r="E32" s="4" t="s">
        <v>242</v>
      </c>
      <c r="F32" s="4" t="s">
        <v>243</v>
      </c>
      <c r="G32" s="4" t="s">
        <v>37</v>
      </c>
      <c r="H32" s="4" t="s">
        <v>252</v>
      </c>
      <c r="I32" s="4">
        <v>260</v>
      </c>
      <c r="J32" s="4">
        <v>303</v>
      </c>
      <c r="K32" s="4">
        <f t="shared" si="0"/>
        <v>43</v>
      </c>
      <c r="L32" s="4"/>
      <c r="M32" s="4">
        <v>1</v>
      </c>
      <c r="N32" s="4">
        <v>1</v>
      </c>
      <c r="O32" s="4"/>
      <c r="P32" s="4"/>
      <c r="Q32" s="4">
        <v>1</v>
      </c>
      <c r="R32" s="4"/>
      <c r="S32" s="4"/>
      <c r="T32" s="4"/>
      <c r="U32" s="4"/>
      <c r="V32" s="4"/>
      <c r="W32" s="4"/>
      <c r="X32" s="4"/>
      <c r="Y32" s="4"/>
      <c r="Z32" s="4"/>
      <c r="AA32" s="4">
        <v>1</v>
      </c>
      <c r="AB32" s="4"/>
      <c r="AC32" s="4"/>
      <c r="AD32" s="4"/>
      <c r="AE32" s="4">
        <v>1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>
        <f>SUM(L32:AO32)</f>
        <v>5</v>
      </c>
    </row>
    <row r="33" spans="1:42" ht="30" customHeight="1" x14ac:dyDescent="0.25">
      <c r="A33" s="4" t="s">
        <v>253</v>
      </c>
      <c r="B33" s="4" t="s">
        <v>254</v>
      </c>
      <c r="C33" s="4" t="s">
        <v>255</v>
      </c>
      <c r="D33" s="4" t="s">
        <v>256</v>
      </c>
      <c r="E33" s="4" t="s">
        <v>257</v>
      </c>
      <c r="F33" s="4" t="s">
        <v>258</v>
      </c>
      <c r="G33" s="4" t="s">
        <v>95</v>
      </c>
      <c r="H33" s="4" t="s">
        <v>259</v>
      </c>
      <c r="I33" s="4">
        <v>1840</v>
      </c>
      <c r="J33" s="4">
        <v>1889</v>
      </c>
      <c r="K33" s="4">
        <f t="shared" si="0"/>
        <v>49</v>
      </c>
      <c r="L33" s="4"/>
      <c r="M33" s="4"/>
      <c r="N33" s="4"/>
      <c r="O33" s="4"/>
      <c r="P33" s="4"/>
      <c r="Q33" s="4">
        <v>1</v>
      </c>
      <c r="R33" s="4"/>
      <c r="S33" s="4"/>
      <c r="T33" s="4"/>
      <c r="U33" s="4"/>
      <c r="V33" s="4"/>
      <c r="W33" s="4"/>
      <c r="X33" s="4"/>
      <c r="Y33" s="4"/>
      <c r="Z33" s="4"/>
      <c r="AA33" s="4">
        <v>1</v>
      </c>
      <c r="AB33" s="4">
        <v>1</v>
      </c>
      <c r="AC33" s="4"/>
      <c r="AD33" s="4">
        <v>1</v>
      </c>
      <c r="AE33" s="4">
        <v>1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>
        <f>SUM(L33:AO33)</f>
        <v>5</v>
      </c>
    </row>
    <row r="34" spans="1:42" ht="30" customHeight="1" x14ac:dyDescent="0.25">
      <c r="A34" s="4" t="s">
        <v>260</v>
      </c>
      <c r="B34" s="4" t="s">
        <v>261</v>
      </c>
      <c r="C34" s="4" t="s">
        <v>262</v>
      </c>
      <c r="D34" s="4" t="s">
        <v>263</v>
      </c>
      <c r="E34" s="4" t="s">
        <v>264</v>
      </c>
      <c r="F34" s="4" t="s">
        <v>265</v>
      </c>
      <c r="G34" s="4" t="s">
        <v>43</v>
      </c>
      <c r="H34" s="4" t="s">
        <v>266</v>
      </c>
      <c r="I34" s="4">
        <v>1170</v>
      </c>
      <c r="J34" s="4">
        <v>1221</v>
      </c>
      <c r="K34" s="4">
        <f t="shared" si="0"/>
        <v>51</v>
      </c>
      <c r="L34" s="4"/>
      <c r="M34" s="4">
        <v>1</v>
      </c>
      <c r="N34" s="4"/>
      <c r="O34" s="4"/>
      <c r="P34" s="4"/>
      <c r="Q34" s="4"/>
      <c r="R34" s="4"/>
      <c r="S34" s="4">
        <v>1</v>
      </c>
      <c r="T34" s="4"/>
      <c r="U34" s="4">
        <v>1</v>
      </c>
      <c r="V34" s="4"/>
      <c r="W34" s="4"/>
      <c r="X34" s="4"/>
      <c r="Y34" s="4"/>
      <c r="Z34" s="4"/>
      <c r="AA34" s="4"/>
      <c r="AB34" s="4"/>
      <c r="AC34" s="4"/>
      <c r="AD34" s="4">
        <v>1</v>
      </c>
      <c r="AE34" s="4"/>
      <c r="AF34" s="4"/>
      <c r="AG34" s="4"/>
      <c r="AH34" s="4"/>
      <c r="AI34" s="4"/>
      <c r="AJ34" s="4"/>
      <c r="AK34" s="4"/>
      <c r="AL34" s="4"/>
      <c r="AM34" s="4"/>
      <c r="AN34" s="4">
        <v>1</v>
      </c>
      <c r="AO34" s="4"/>
      <c r="AP34" s="4">
        <f>SUM(L34:AO34)</f>
        <v>5</v>
      </c>
    </row>
    <row r="35" spans="1:42" ht="30" customHeight="1" x14ac:dyDescent="0.25">
      <c r="A35" s="4" t="s">
        <v>267</v>
      </c>
      <c r="B35" s="4" t="s">
        <v>268</v>
      </c>
      <c r="C35" s="4" t="s">
        <v>91</v>
      </c>
      <c r="D35" s="4" t="s">
        <v>269</v>
      </c>
      <c r="E35" s="4" t="s">
        <v>270</v>
      </c>
      <c r="F35" s="4" t="s">
        <v>271</v>
      </c>
      <c r="G35" s="4" t="s">
        <v>272</v>
      </c>
      <c r="H35" s="4" t="s">
        <v>273</v>
      </c>
      <c r="I35" s="4">
        <v>1842</v>
      </c>
      <c r="J35" s="4">
        <v>1857</v>
      </c>
      <c r="K35" s="4">
        <f t="shared" ref="K35:K66" si="3">IF(AND(ISNUMBER(I35),ISNUMBER(J35)),J35-I35,"")</f>
        <v>15</v>
      </c>
      <c r="L35" s="4"/>
      <c r="M35" s="4"/>
      <c r="N35" s="4"/>
      <c r="O35" s="4"/>
      <c r="P35" s="4"/>
      <c r="Q35" s="4">
        <v>1</v>
      </c>
      <c r="R35" s="4"/>
      <c r="S35" s="4"/>
      <c r="T35" s="4"/>
      <c r="U35" s="4">
        <v>1</v>
      </c>
      <c r="V35" s="4">
        <v>1</v>
      </c>
      <c r="W35" s="4">
        <v>1</v>
      </c>
      <c r="X35" s="4"/>
      <c r="Y35" s="4"/>
      <c r="Z35" s="4"/>
      <c r="AA35" s="4"/>
      <c r="AB35" s="4"/>
      <c r="AC35" s="4">
        <v>1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>
        <f>SUM(L35:AO35)</f>
        <v>5</v>
      </c>
    </row>
    <row r="36" spans="1:42" ht="30" customHeight="1" x14ac:dyDescent="0.25">
      <c r="A36" s="4" t="s">
        <v>274</v>
      </c>
      <c r="B36" s="4" t="s">
        <v>275</v>
      </c>
      <c r="C36" s="4" t="s">
        <v>276</v>
      </c>
      <c r="D36" s="4" t="s">
        <v>277</v>
      </c>
      <c r="E36" s="4" t="s">
        <v>278</v>
      </c>
      <c r="F36" s="4" t="s">
        <v>279</v>
      </c>
      <c r="G36" s="4" t="s">
        <v>280</v>
      </c>
      <c r="H36" s="4" t="s">
        <v>281</v>
      </c>
      <c r="I36" s="4">
        <v>1891</v>
      </c>
      <c r="J36" s="4">
        <v>1942</v>
      </c>
      <c r="K36" s="4">
        <f t="shared" si="3"/>
        <v>51</v>
      </c>
      <c r="L36" s="4"/>
      <c r="M36" s="4">
        <v>1</v>
      </c>
      <c r="N36" s="4">
        <v>1</v>
      </c>
      <c r="O36" s="4"/>
      <c r="P36" s="4"/>
      <c r="Q36" s="4"/>
      <c r="R36" s="4"/>
      <c r="S36" s="4">
        <v>1</v>
      </c>
      <c r="T36" s="4"/>
      <c r="U36" s="4">
        <v>1</v>
      </c>
      <c r="V36" s="4"/>
      <c r="W36" s="4"/>
      <c r="X36" s="4"/>
      <c r="Y36" s="4"/>
      <c r="Z36" s="4"/>
      <c r="AA36" s="4"/>
      <c r="AB36" s="4"/>
      <c r="AC36" s="4"/>
      <c r="AD36" s="4">
        <v>1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>
        <f>SUM(L36:AO36)</f>
        <v>5</v>
      </c>
    </row>
    <row r="37" spans="1:42" ht="30" customHeight="1" x14ac:dyDescent="0.25">
      <c r="A37" s="4" t="s">
        <v>282</v>
      </c>
      <c r="B37" s="4" t="s">
        <v>283</v>
      </c>
      <c r="C37" s="4" t="s">
        <v>134</v>
      </c>
      <c r="D37" s="4" t="s">
        <v>284</v>
      </c>
      <c r="E37" s="4" t="s">
        <v>285</v>
      </c>
      <c r="F37" s="4" t="s">
        <v>286</v>
      </c>
      <c r="G37" s="4" t="s">
        <v>287</v>
      </c>
      <c r="H37" s="4" t="s">
        <v>288</v>
      </c>
      <c r="I37" s="4">
        <v>1003</v>
      </c>
      <c r="J37" s="4">
        <v>1066</v>
      </c>
      <c r="K37" s="4">
        <f t="shared" si="3"/>
        <v>63</v>
      </c>
      <c r="L37" s="4"/>
      <c r="M37" s="4"/>
      <c r="N37" s="4"/>
      <c r="O37" s="4"/>
      <c r="P37" s="4"/>
      <c r="Q37" s="4"/>
      <c r="R37" s="4"/>
      <c r="S37" s="4"/>
      <c r="T37" s="4"/>
      <c r="U37" s="4">
        <v>1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>
        <f>SUM(L37:AN37)</f>
        <v>1</v>
      </c>
    </row>
    <row r="38" spans="1:42" ht="30" customHeight="1" x14ac:dyDescent="0.25">
      <c r="A38" s="4" t="s">
        <v>289</v>
      </c>
      <c r="B38" s="4" t="s">
        <v>290</v>
      </c>
      <c r="C38" s="4" t="s">
        <v>127</v>
      </c>
      <c r="D38" s="4" t="s">
        <v>291</v>
      </c>
      <c r="E38" s="4" t="s">
        <v>292</v>
      </c>
      <c r="F38" s="4" t="s">
        <v>293</v>
      </c>
      <c r="G38" s="4" t="s">
        <v>294</v>
      </c>
      <c r="H38" s="4" t="s">
        <v>295</v>
      </c>
      <c r="I38" s="4">
        <v>306</v>
      </c>
      <c r="J38" s="4">
        <v>373</v>
      </c>
      <c r="K38" s="4">
        <f t="shared" si="3"/>
        <v>67</v>
      </c>
      <c r="L38" s="4"/>
      <c r="M38" s="4"/>
      <c r="N38" s="4"/>
      <c r="O38" s="4"/>
      <c r="P38" s="4"/>
      <c r="Q38" s="4">
        <v>1</v>
      </c>
      <c r="R38" s="4"/>
      <c r="S38" s="4"/>
      <c r="T38" s="4"/>
      <c r="U38" s="4"/>
      <c r="V38" s="4"/>
      <c r="W38" s="4"/>
      <c r="X38" s="4"/>
      <c r="Y38" s="4"/>
      <c r="Z38" s="4"/>
      <c r="AA38" s="4">
        <v>1</v>
      </c>
      <c r="AB38" s="4"/>
      <c r="AC38" s="4">
        <v>1</v>
      </c>
      <c r="AD38" s="4"/>
      <c r="AE38" s="4"/>
      <c r="AF38" s="4"/>
      <c r="AG38" s="4"/>
      <c r="AH38" s="4"/>
      <c r="AI38" s="4">
        <v>1</v>
      </c>
      <c r="AJ38" s="4"/>
      <c r="AK38" s="4"/>
      <c r="AL38" s="4"/>
      <c r="AM38" s="4"/>
      <c r="AN38" s="4">
        <v>1</v>
      </c>
      <c r="AO38" s="4"/>
      <c r="AP38" s="4">
        <f>SUM(L38:AO38)</f>
        <v>5</v>
      </c>
    </row>
    <row r="39" spans="1:42" ht="30" customHeight="1" x14ac:dyDescent="0.25">
      <c r="A39" s="4" t="s">
        <v>296</v>
      </c>
      <c r="B39" s="4" t="s">
        <v>297</v>
      </c>
      <c r="C39" s="4" t="s">
        <v>91</v>
      </c>
      <c r="D39" s="4" t="s">
        <v>298</v>
      </c>
      <c r="E39" s="4" t="s">
        <v>299</v>
      </c>
      <c r="F39" s="4" t="s">
        <v>300</v>
      </c>
      <c r="G39" s="4" t="s">
        <v>27</v>
      </c>
      <c r="H39" s="4" t="s">
        <v>301</v>
      </c>
      <c r="I39" s="4">
        <v>1835</v>
      </c>
      <c r="J39" s="4">
        <v>1914</v>
      </c>
      <c r="K39" s="4">
        <f t="shared" si="3"/>
        <v>79</v>
      </c>
      <c r="L39" s="4"/>
      <c r="M39" s="4"/>
      <c r="N39" s="4"/>
      <c r="O39" s="4"/>
      <c r="P39" s="4"/>
      <c r="Q39" s="4">
        <v>1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>
        <v>1</v>
      </c>
      <c r="AE39" s="4"/>
      <c r="AF39" s="4"/>
      <c r="AG39" s="4">
        <v>1</v>
      </c>
      <c r="AH39" s="4"/>
      <c r="AI39" s="4"/>
      <c r="AJ39" s="4"/>
      <c r="AK39" s="4"/>
      <c r="AL39" s="4"/>
      <c r="AM39" s="4">
        <v>1</v>
      </c>
      <c r="AN39" s="4"/>
      <c r="AO39" s="4">
        <v>1</v>
      </c>
      <c r="AP39" s="4">
        <f>SUM(L39:AN39)</f>
        <v>4</v>
      </c>
    </row>
    <row r="40" spans="1:42" ht="30" customHeight="1" x14ac:dyDescent="0.25">
      <c r="A40" s="4" t="s">
        <v>302</v>
      </c>
      <c r="B40" s="4" t="s">
        <v>74</v>
      </c>
      <c r="C40" s="4" t="s">
        <v>75</v>
      </c>
      <c r="D40" s="4" t="s">
        <v>303</v>
      </c>
      <c r="E40" s="4" t="s">
        <v>304</v>
      </c>
      <c r="F40" s="4" t="s">
        <v>305</v>
      </c>
      <c r="G40" s="4" t="s">
        <v>23</v>
      </c>
      <c r="H40" s="4" t="s">
        <v>306</v>
      </c>
      <c r="I40" s="4">
        <v>5</v>
      </c>
      <c r="J40" s="4">
        <v>34</v>
      </c>
      <c r="K40" s="4">
        <f t="shared" si="3"/>
        <v>29</v>
      </c>
      <c r="L40" s="4">
        <v>1</v>
      </c>
      <c r="M40" s="4">
        <v>1</v>
      </c>
      <c r="N40" s="4">
        <v>1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>
        <v>1</v>
      </c>
      <c r="AD40" s="4"/>
      <c r="AE40" s="4"/>
      <c r="AF40" s="4"/>
      <c r="AG40" s="4"/>
      <c r="AH40" s="4"/>
      <c r="AI40" s="4">
        <v>1</v>
      </c>
      <c r="AJ40" s="4"/>
      <c r="AK40" s="4"/>
      <c r="AL40" s="4"/>
      <c r="AM40" s="4"/>
      <c r="AN40" s="4"/>
      <c r="AO40" s="4"/>
      <c r="AP40" s="4">
        <f t="shared" ref="AP40:AP60" si="4">SUM(L40:AO40)</f>
        <v>5</v>
      </c>
    </row>
    <row r="41" spans="1:42" ht="45" customHeight="1" x14ac:dyDescent="0.25">
      <c r="A41" s="4" t="s">
        <v>307</v>
      </c>
      <c r="B41" s="4" t="s">
        <v>308</v>
      </c>
      <c r="C41" s="4" t="s">
        <v>276</v>
      </c>
      <c r="D41" s="4" t="s">
        <v>309</v>
      </c>
      <c r="E41" s="4" t="s">
        <v>310</v>
      </c>
      <c r="F41" s="4" t="s">
        <v>311</v>
      </c>
      <c r="G41" s="4" t="s">
        <v>24</v>
      </c>
      <c r="H41" s="4" t="s">
        <v>312</v>
      </c>
      <c r="I41" s="4">
        <v>1905</v>
      </c>
      <c r="J41" s="4">
        <v>1938</v>
      </c>
      <c r="K41" s="4">
        <f t="shared" si="3"/>
        <v>33</v>
      </c>
      <c r="L41" s="4"/>
      <c r="M41" s="4"/>
      <c r="N41" s="4"/>
      <c r="O41" s="4"/>
      <c r="P41" s="4"/>
      <c r="Q41" s="4">
        <v>1</v>
      </c>
      <c r="R41" s="4"/>
      <c r="S41" s="4"/>
      <c r="T41" s="4"/>
      <c r="U41" s="4">
        <v>1</v>
      </c>
      <c r="V41" s="4"/>
      <c r="W41" s="4"/>
      <c r="X41" s="4"/>
      <c r="Y41" s="4"/>
      <c r="Z41" s="4"/>
      <c r="AA41" s="4">
        <v>1</v>
      </c>
      <c r="AB41" s="4"/>
      <c r="AC41" s="4"/>
      <c r="AD41" s="4">
        <v>1</v>
      </c>
      <c r="AE41" s="4"/>
      <c r="AF41" s="4"/>
      <c r="AG41" s="4"/>
      <c r="AH41" s="4"/>
      <c r="AI41" s="4">
        <v>1</v>
      </c>
      <c r="AJ41" s="4"/>
      <c r="AK41" s="4"/>
      <c r="AL41" s="4"/>
      <c r="AM41" s="4"/>
      <c r="AN41" s="4"/>
      <c r="AO41" s="4"/>
      <c r="AP41" s="4">
        <f t="shared" si="4"/>
        <v>5</v>
      </c>
    </row>
    <row r="42" spans="1:42" ht="30" customHeight="1" x14ac:dyDescent="0.25">
      <c r="A42" s="4" t="s">
        <v>313</v>
      </c>
      <c r="B42" s="4" t="s">
        <v>225</v>
      </c>
      <c r="C42" s="4" t="s">
        <v>226</v>
      </c>
      <c r="D42" s="4" t="s">
        <v>314</v>
      </c>
      <c r="E42" s="4" t="s">
        <v>315</v>
      </c>
      <c r="F42" s="4" t="s">
        <v>316</v>
      </c>
      <c r="G42" s="4" t="s">
        <v>230</v>
      </c>
      <c r="H42" s="4" t="s">
        <v>317</v>
      </c>
      <c r="I42" s="4">
        <v>180</v>
      </c>
      <c r="J42" s="4">
        <v>203</v>
      </c>
      <c r="K42" s="4">
        <f t="shared" si="3"/>
        <v>23</v>
      </c>
      <c r="L42" s="4"/>
      <c r="M42" s="4">
        <v>1</v>
      </c>
      <c r="N42" s="4"/>
      <c r="O42" s="4"/>
      <c r="P42" s="4"/>
      <c r="Q42" s="4">
        <v>1</v>
      </c>
      <c r="R42" s="4"/>
      <c r="S42" s="4"/>
      <c r="T42" s="4"/>
      <c r="U42" s="4"/>
      <c r="V42" s="4">
        <v>1</v>
      </c>
      <c r="W42" s="4"/>
      <c r="X42" s="4">
        <v>1</v>
      </c>
      <c r="Y42" s="4"/>
      <c r="Z42" s="4">
        <v>1</v>
      </c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>
        <f t="shared" si="4"/>
        <v>5</v>
      </c>
    </row>
    <row r="43" spans="1:42" ht="30" customHeight="1" x14ac:dyDescent="0.25">
      <c r="A43" s="4" t="s">
        <v>318</v>
      </c>
      <c r="B43" s="4" t="s">
        <v>319</v>
      </c>
      <c r="C43" s="4" t="s">
        <v>91</v>
      </c>
      <c r="D43" s="4" t="s">
        <v>320</v>
      </c>
      <c r="E43" s="4" t="s">
        <v>321</v>
      </c>
      <c r="F43" s="4" t="s">
        <v>322</v>
      </c>
      <c r="G43" s="4" t="s">
        <v>272</v>
      </c>
      <c r="H43" s="4" t="s">
        <v>323</v>
      </c>
      <c r="I43" s="4">
        <v>1515</v>
      </c>
      <c r="J43" s="4">
        <v>1595</v>
      </c>
      <c r="K43" s="4">
        <f t="shared" si="3"/>
        <v>80</v>
      </c>
      <c r="L43" s="4"/>
      <c r="M43" s="4">
        <v>1</v>
      </c>
      <c r="N43" s="4"/>
      <c r="O43" s="4"/>
      <c r="P43" s="4"/>
      <c r="Q43" s="4">
        <v>1</v>
      </c>
      <c r="R43" s="4"/>
      <c r="S43" s="4"/>
      <c r="T43" s="4"/>
      <c r="U43" s="4">
        <v>1</v>
      </c>
      <c r="V43" s="4"/>
      <c r="W43" s="4"/>
      <c r="X43" s="4"/>
      <c r="Y43" s="4"/>
      <c r="Z43" s="4"/>
      <c r="AA43" s="4"/>
      <c r="AB43" s="4"/>
      <c r="AC43" s="4"/>
      <c r="AD43" s="4">
        <v>1</v>
      </c>
      <c r="AE43" s="4"/>
      <c r="AF43" s="4"/>
      <c r="AG43" s="4"/>
      <c r="AH43" s="4"/>
      <c r="AI43" s="4">
        <v>1</v>
      </c>
      <c r="AJ43" s="4"/>
      <c r="AK43" s="4"/>
      <c r="AL43" s="4"/>
      <c r="AM43" s="4"/>
      <c r="AN43" s="4"/>
      <c r="AO43" s="4"/>
      <c r="AP43" s="4">
        <f t="shared" si="4"/>
        <v>5</v>
      </c>
    </row>
    <row r="44" spans="1:42" ht="30" customHeight="1" x14ac:dyDescent="0.25">
      <c r="A44" s="4" t="s">
        <v>324</v>
      </c>
      <c r="B44" s="4" t="s">
        <v>233</v>
      </c>
      <c r="C44" s="4" t="s">
        <v>91</v>
      </c>
      <c r="D44" s="4" t="s">
        <v>325</v>
      </c>
      <c r="E44" s="4" t="s">
        <v>326</v>
      </c>
      <c r="F44" s="4" t="s">
        <v>327</v>
      </c>
      <c r="G44" s="4" t="s">
        <v>45</v>
      </c>
      <c r="H44" s="4" t="s">
        <v>328</v>
      </c>
      <c r="I44" s="4">
        <v>1181</v>
      </c>
      <c r="J44" s="4">
        <v>1226</v>
      </c>
      <c r="K44" s="4">
        <f t="shared" si="3"/>
        <v>45</v>
      </c>
      <c r="L44" s="4"/>
      <c r="M44" s="4">
        <v>1</v>
      </c>
      <c r="N44" s="4"/>
      <c r="O44" s="4"/>
      <c r="P44" s="4"/>
      <c r="Q44" s="4"/>
      <c r="R44" s="4"/>
      <c r="S44" s="4"/>
      <c r="T44" s="4"/>
      <c r="U44" s="4">
        <v>1</v>
      </c>
      <c r="V44" s="4"/>
      <c r="W44" s="4"/>
      <c r="X44" s="4"/>
      <c r="Y44" s="4"/>
      <c r="Z44" s="4"/>
      <c r="AA44" s="4"/>
      <c r="AB44" s="4"/>
      <c r="AC44" s="4">
        <v>1</v>
      </c>
      <c r="AD44" s="4"/>
      <c r="AE44" s="4"/>
      <c r="AF44" s="4"/>
      <c r="AG44" s="4"/>
      <c r="AH44" s="4"/>
      <c r="AI44" s="4">
        <v>1</v>
      </c>
      <c r="AJ44" s="4"/>
      <c r="AK44" s="4"/>
      <c r="AL44" s="4">
        <v>1</v>
      </c>
      <c r="AM44" s="4"/>
      <c r="AN44" s="4">
        <v>1</v>
      </c>
      <c r="AO44" s="4"/>
      <c r="AP44" s="4">
        <f t="shared" si="4"/>
        <v>6</v>
      </c>
    </row>
    <row r="45" spans="1:42" ht="30" customHeight="1" x14ac:dyDescent="0.25">
      <c r="A45" s="4" t="s">
        <v>329</v>
      </c>
      <c r="B45" s="4" t="s">
        <v>330</v>
      </c>
      <c r="C45" s="4" t="s">
        <v>262</v>
      </c>
      <c r="D45" s="4" t="s">
        <v>331</v>
      </c>
      <c r="E45" s="4" t="s">
        <v>332</v>
      </c>
      <c r="F45" s="4" t="s">
        <v>333</v>
      </c>
      <c r="G45" s="4" t="s">
        <v>334</v>
      </c>
      <c r="H45" s="4" t="s">
        <v>335</v>
      </c>
      <c r="I45" s="4">
        <v>1506</v>
      </c>
      <c r="J45" s="4">
        <v>1552</v>
      </c>
      <c r="K45" s="4">
        <f t="shared" si="3"/>
        <v>46</v>
      </c>
      <c r="L45" s="4"/>
      <c r="M45" s="4">
        <v>1</v>
      </c>
      <c r="N45" s="4"/>
      <c r="O45" s="4">
        <v>1</v>
      </c>
      <c r="P45" s="4"/>
      <c r="Q45" s="4">
        <v>1</v>
      </c>
      <c r="R45" s="4"/>
      <c r="S45" s="4"/>
      <c r="T45" s="4"/>
      <c r="U45" s="4">
        <v>1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>
        <v>1</v>
      </c>
      <c r="AO45" s="4"/>
      <c r="AP45" s="4">
        <f t="shared" si="4"/>
        <v>5</v>
      </c>
    </row>
    <row r="46" spans="1:42" ht="30" customHeight="1" x14ac:dyDescent="0.25">
      <c r="A46" s="4" t="s">
        <v>336</v>
      </c>
      <c r="B46" s="4" t="s">
        <v>337</v>
      </c>
      <c r="C46" s="4" t="s">
        <v>149</v>
      </c>
      <c r="D46" s="4" t="s">
        <v>338</v>
      </c>
      <c r="E46" s="4" t="s">
        <v>339</v>
      </c>
      <c r="F46" s="4" t="s">
        <v>340</v>
      </c>
      <c r="G46" s="4" t="s">
        <v>27</v>
      </c>
      <c r="H46" s="4" t="s">
        <v>341</v>
      </c>
      <c r="I46" s="4">
        <v>419</v>
      </c>
      <c r="J46" s="4">
        <v>512</v>
      </c>
      <c r="K46" s="4">
        <f t="shared" si="3"/>
        <v>93</v>
      </c>
      <c r="L46" s="4"/>
      <c r="M46" s="4"/>
      <c r="N46" s="4">
        <v>1</v>
      </c>
      <c r="O46" s="4"/>
      <c r="P46" s="4"/>
      <c r="Q46" s="4">
        <v>1</v>
      </c>
      <c r="R46" s="4">
        <v>1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>
        <v>1</v>
      </c>
      <c r="AD46" s="4"/>
      <c r="AE46" s="4"/>
      <c r="AF46" s="4"/>
      <c r="AG46" s="4"/>
      <c r="AH46" s="4"/>
      <c r="AI46" s="4">
        <v>1</v>
      </c>
      <c r="AJ46" s="4"/>
      <c r="AK46" s="4"/>
      <c r="AL46" s="4"/>
      <c r="AM46" s="4"/>
      <c r="AN46" s="4"/>
      <c r="AO46" s="4"/>
      <c r="AP46" s="4">
        <f t="shared" si="4"/>
        <v>5</v>
      </c>
    </row>
    <row r="47" spans="1:42" ht="30" customHeight="1" x14ac:dyDescent="0.25">
      <c r="A47" s="4" t="s">
        <v>342</v>
      </c>
      <c r="B47" s="4" t="s">
        <v>343</v>
      </c>
      <c r="C47" s="4" t="s">
        <v>91</v>
      </c>
      <c r="D47" s="4" t="s">
        <v>344</v>
      </c>
      <c r="E47" s="4" t="s">
        <v>345</v>
      </c>
      <c r="F47" s="4" t="s">
        <v>346</v>
      </c>
      <c r="G47" s="4" t="s">
        <v>347</v>
      </c>
      <c r="H47" s="4" t="s">
        <v>348</v>
      </c>
      <c r="I47" s="4">
        <v>1922</v>
      </c>
      <c r="J47" s="4">
        <v>1962</v>
      </c>
      <c r="K47" s="4">
        <f t="shared" si="3"/>
        <v>40</v>
      </c>
      <c r="L47" s="4"/>
      <c r="M47" s="4">
        <v>1</v>
      </c>
      <c r="N47" s="4"/>
      <c r="O47" s="4"/>
      <c r="P47" s="4"/>
      <c r="Q47" s="4">
        <v>1</v>
      </c>
      <c r="R47" s="4"/>
      <c r="S47" s="4"/>
      <c r="T47" s="4"/>
      <c r="U47" s="4">
        <v>1</v>
      </c>
      <c r="V47" s="4"/>
      <c r="W47" s="4"/>
      <c r="X47" s="4"/>
      <c r="Y47" s="4"/>
      <c r="Z47" s="4"/>
      <c r="AA47" s="4"/>
      <c r="AB47" s="4"/>
      <c r="AC47" s="4">
        <v>1</v>
      </c>
      <c r="AD47" s="4">
        <v>1</v>
      </c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>
        <f t="shared" si="4"/>
        <v>5</v>
      </c>
    </row>
    <row r="48" spans="1:42" ht="30" customHeight="1" x14ac:dyDescent="0.25">
      <c r="A48" s="4" t="s">
        <v>349</v>
      </c>
      <c r="B48" s="4" t="s">
        <v>350</v>
      </c>
      <c r="C48" s="4" t="s">
        <v>91</v>
      </c>
      <c r="D48" s="4" t="s">
        <v>351</v>
      </c>
      <c r="E48" s="4" t="s">
        <v>352</v>
      </c>
      <c r="F48" s="4" t="s">
        <v>353</v>
      </c>
      <c r="G48" s="4" t="s">
        <v>354</v>
      </c>
      <c r="H48" s="4" t="s">
        <v>355</v>
      </c>
      <c r="I48" s="4">
        <v>1880</v>
      </c>
      <c r="J48" s="4">
        <v>1927</v>
      </c>
      <c r="K48" s="4">
        <f t="shared" si="3"/>
        <v>47</v>
      </c>
      <c r="L48" s="4"/>
      <c r="M48" s="4"/>
      <c r="N48" s="4"/>
      <c r="O48" s="4"/>
      <c r="P48" s="4"/>
      <c r="Q48" s="4">
        <v>1</v>
      </c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>
        <v>1</v>
      </c>
      <c r="AD48" s="4"/>
      <c r="AE48" s="4">
        <v>1</v>
      </c>
      <c r="AF48" s="4"/>
      <c r="AG48" s="4"/>
      <c r="AH48" s="4"/>
      <c r="AI48" s="4"/>
      <c r="AJ48" s="4">
        <v>1</v>
      </c>
      <c r="AK48" s="4"/>
      <c r="AL48" s="4"/>
      <c r="AM48" s="4"/>
      <c r="AN48" s="4"/>
      <c r="AO48" s="4"/>
      <c r="AP48" s="4">
        <f t="shared" si="4"/>
        <v>4</v>
      </c>
    </row>
    <row r="49" spans="1:42" ht="30" customHeight="1" x14ac:dyDescent="0.25">
      <c r="A49" s="4" t="s">
        <v>356</v>
      </c>
      <c r="B49" s="4" t="s">
        <v>357</v>
      </c>
      <c r="C49" s="4" t="s">
        <v>127</v>
      </c>
      <c r="D49" s="4" t="s">
        <v>358</v>
      </c>
      <c r="E49" s="4" t="s">
        <v>359</v>
      </c>
      <c r="F49" s="4" t="s">
        <v>360</v>
      </c>
      <c r="G49" s="4" t="s">
        <v>42</v>
      </c>
      <c r="H49" s="4" t="s">
        <v>361</v>
      </c>
      <c r="I49" s="4">
        <v>335</v>
      </c>
      <c r="J49" s="4">
        <v>395</v>
      </c>
      <c r="K49" s="4">
        <f t="shared" si="3"/>
        <v>60</v>
      </c>
      <c r="L49" s="4"/>
      <c r="M49" s="4">
        <v>1</v>
      </c>
      <c r="N49" s="4">
        <v>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>
        <v>1</v>
      </c>
      <c r="AE49" s="4"/>
      <c r="AF49" s="4">
        <v>1</v>
      </c>
      <c r="AG49" s="4"/>
      <c r="AH49" s="4"/>
      <c r="AI49" s="4"/>
      <c r="AJ49" s="4"/>
      <c r="AK49" s="4"/>
      <c r="AL49" s="4"/>
      <c r="AM49" s="4"/>
      <c r="AN49" s="4">
        <v>1</v>
      </c>
      <c r="AO49" s="4"/>
      <c r="AP49" s="4">
        <f t="shared" si="4"/>
        <v>5</v>
      </c>
    </row>
    <row r="50" spans="1:42" ht="30" customHeight="1" x14ac:dyDescent="0.25">
      <c r="A50" s="4" t="s">
        <v>362</v>
      </c>
      <c r="B50" s="4" t="s">
        <v>213</v>
      </c>
      <c r="C50" s="4" t="s">
        <v>91</v>
      </c>
      <c r="D50" s="4" t="s">
        <v>363</v>
      </c>
      <c r="E50" s="4" t="s">
        <v>364</v>
      </c>
      <c r="F50" s="4" t="s">
        <v>229</v>
      </c>
      <c r="G50" s="4" t="s">
        <v>192</v>
      </c>
      <c r="H50" s="4" t="s">
        <v>365</v>
      </c>
      <c r="I50" s="4">
        <v>540</v>
      </c>
      <c r="J50" s="4">
        <v>604</v>
      </c>
      <c r="K50" s="4">
        <f t="shared" si="3"/>
        <v>64</v>
      </c>
      <c r="L50" s="4"/>
      <c r="M50" s="4"/>
      <c r="N50" s="4"/>
      <c r="O50" s="4"/>
      <c r="P50" s="4"/>
      <c r="Q50" s="4">
        <v>1</v>
      </c>
      <c r="R50" s="4"/>
      <c r="S50" s="4"/>
      <c r="T50" s="4"/>
      <c r="U50" s="4">
        <v>1</v>
      </c>
      <c r="V50" s="4"/>
      <c r="W50" s="4"/>
      <c r="X50" s="4"/>
      <c r="Y50" s="4"/>
      <c r="Z50" s="4"/>
      <c r="AA50" s="4">
        <v>1</v>
      </c>
      <c r="AB50" s="4"/>
      <c r="AC50" s="4">
        <v>1</v>
      </c>
      <c r="AD50" s="4"/>
      <c r="AE50" s="4"/>
      <c r="AF50" s="4"/>
      <c r="AG50" s="4"/>
      <c r="AH50" s="4"/>
      <c r="AI50" s="4">
        <v>1</v>
      </c>
      <c r="AJ50" s="4"/>
      <c r="AK50" s="4"/>
      <c r="AL50" s="4"/>
      <c r="AM50" s="4"/>
      <c r="AN50" s="4"/>
      <c r="AO50" s="4"/>
      <c r="AP50" s="4">
        <f t="shared" si="4"/>
        <v>5</v>
      </c>
    </row>
    <row r="51" spans="1:42" ht="30" customHeight="1" x14ac:dyDescent="0.25">
      <c r="A51" s="4" t="s">
        <v>366</v>
      </c>
      <c r="B51" s="4" t="s">
        <v>367</v>
      </c>
      <c r="C51" s="4" t="s">
        <v>62</v>
      </c>
      <c r="D51" s="4" t="s">
        <v>368</v>
      </c>
      <c r="E51" s="4" t="s">
        <v>369</v>
      </c>
      <c r="F51" s="4" t="s">
        <v>370</v>
      </c>
      <c r="G51" s="4" t="s">
        <v>294</v>
      </c>
      <c r="H51" s="4" t="s">
        <v>371</v>
      </c>
      <c r="I51" s="4">
        <v>1098</v>
      </c>
      <c r="J51" s="4">
        <v>1179</v>
      </c>
      <c r="K51" s="4">
        <f t="shared" si="3"/>
        <v>81</v>
      </c>
      <c r="L51" s="4"/>
      <c r="M51" s="4">
        <v>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>
        <v>1</v>
      </c>
      <c r="AB51" s="4"/>
      <c r="AC51" s="4"/>
      <c r="AD51" s="4">
        <v>1</v>
      </c>
      <c r="AE51" s="4"/>
      <c r="AF51" s="4"/>
      <c r="AG51" s="4"/>
      <c r="AH51" s="4"/>
      <c r="AI51" s="4"/>
      <c r="AJ51" s="4"/>
      <c r="AK51" s="4">
        <v>1</v>
      </c>
      <c r="AL51" s="4"/>
      <c r="AM51" s="4"/>
      <c r="AN51" s="4"/>
      <c r="AO51" s="4"/>
      <c r="AP51" s="4">
        <f t="shared" si="4"/>
        <v>4</v>
      </c>
    </row>
    <row r="52" spans="1:42" ht="30" customHeight="1" x14ac:dyDescent="0.25">
      <c r="A52" s="4" t="s">
        <v>372</v>
      </c>
      <c r="B52" s="4" t="s">
        <v>373</v>
      </c>
      <c r="C52" s="4" t="s">
        <v>149</v>
      </c>
      <c r="D52" s="4" t="s">
        <v>374</v>
      </c>
      <c r="E52" s="4" t="s">
        <v>375</v>
      </c>
      <c r="F52" s="4" t="s">
        <v>376</v>
      </c>
      <c r="G52" s="4" t="s">
        <v>44</v>
      </c>
      <c r="H52" s="4" t="s">
        <v>377</v>
      </c>
      <c r="I52" s="4">
        <v>656</v>
      </c>
      <c r="J52" s="4">
        <v>727</v>
      </c>
      <c r="K52" s="4">
        <f t="shared" si="3"/>
        <v>71</v>
      </c>
      <c r="L52" s="4"/>
      <c r="M52" s="4"/>
      <c r="N52" s="4">
        <v>1</v>
      </c>
      <c r="O52" s="4"/>
      <c r="P52" s="4"/>
      <c r="Q52" s="4">
        <v>1</v>
      </c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>
        <v>1</v>
      </c>
      <c r="AD52" s="4"/>
      <c r="AE52" s="4"/>
      <c r="AF52" s="4"/>
      <c r="AG52" s="4"/>
      <c r="AH52" s="4"/>
      <c r="AI52" s="4"/>
      <c r="AJ52" s="4"/>
      <c r="AK52" s="4"/>
      <c r="AL52" s="4">
        <v>1</v>
      </c>
      <c r="AM52" s="4"/>
      <c r="AN52" s="4"/>
      <c r="AO52" s="4"/>
      <c r="AP52" s="4">
        <f t="shared" si="4"/>
        <v>4</v>
      </c>
    </row>
    <row r="53" spans="1:42" ht="30" customHeight="1" x14ac:dyDescent="0.25">
      <c r="A53" s="4" t="s">
        <v>378</v>
      </c>
      <c r="B53" s="4" t="s">
        <v>379</v>
      </c>
      <c r="C53" s="4" t="s">
        <v>262</v>
      </c>
      <c r="D53" s="4" t="s">
        <v>380</v>
      </c>
      <c r="E53" s="4" t="s">
        <v>381</v>
      </c>
      <c r="F53" s="4" t="s">
        <v>30</v>
      </c>
      <c r="G53" s="4" t="s">
        <v>29</v>
      </c>
      <c r="H53" s="4" t="s">
        <v>382</v>
      </c>
      <c r="I53" s="4">
        <v>1491</v>
      </c>
      <c r="J53" s="4">
        <v>1556</v>
      </c>
      <c r="K53" s="4">
        <f t="shared" si="3"/>
        <v>65</v>
      </c>
      <c r="L53" s="4"/>
      <c r="M53" s="4">
        <v>1</v>
      </c>
      <c r="N53" s="4">
        <v>1</v>
      </c>
      <c r="O53" s="4"/>
      <c r="P53" s="4"/>
      <c r="Q53" s="4"/>
      <c r="R53" s="4"/>
      <c r="S53" s="4">
        <v>1</v>
      </c>
      <c r="T53" s="4"/>
      <c r="U53" s="4">
        <v>1</v>
      </c>
      <c r="V53" s="4"/>
      <c r="W53" s="4"/>
      <c r="X53" s="4"/>
      <c r="Y53" s="4"/>
      <c r="Z53" s="4"/>
      <c r="AA53" s="4"/>
      <c r="AB53" s="4"/>
      <c r="AC53" s="4">
        <v>1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>
        <f t="shared" si="4"/>
        <v>5</v>
      </c>
    </row>
    <row r="54" spans="1:42" ht="30" customHeight="1" x14ac:dyDescent="0.25">
      <c r="A54" s="4" t="s">
        <v>383</v>
      </c>
      <c r="B54" s="4" t="s">
        <v>213</v>
      </c>
      <c r="C54" s="4" t="s">
        <v>91</v>
      </c>
      <c r="D54" s="4" t="s">
        <v>384</v>
      </c>
      <c r="E54" s="4" t="s">
        <v>385</v>
      </c>
      <c r="F54" s="4" t="s">
        <v>386</v>
      </c>
      <c r="G54" s="4" t="s">
        <v>387</v>
      </c>
      <c r="H54" s="4" t="s">
        <v>388</v>
      </c>
      <c r="I54" s="4">
        <v>291</v>
      </c>
      <c r="J54" s="4">
        <v>304</v>
      </c>
      <c r="K54" s="4">
        <f t="shared" si="3"/>
        <v>13</v>
      </c>
      <c r="L54" s="4"/>
      <c r="M54" s="4">
        <v>1</v>
      </c>
      <c r="N54" s="4">
        <v>1</v>
      </c>
      <c r="O54" s="4">
        <v>1</v>
      </c>
      <c r="P54" s="4"/>
      <c r="Q54" s="4">
        <v>1</v>
      </c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>
        <v>1</v>
      </c>
      <c r="AJ54" s="4"/>
      <c r="AK54" s="4"/>
      <c r="AL54" s="4"/>
      <c r="AM54" s="4"/>
      <c r="AN54" s="4"/>
      <c r="AO54" s="4"/>
      <c r="AP54" s="4">
        <f t="shared" si="4"/>
        <v>5</v>
      </c>
    </row>
    <row r="55" spans="1:42" ht="30" customHeight="1" x14ac:dyDescent="0.25">
      <c r="A55" s="4" t="s">
        <v>389</v>
      </c>
      <c r="B55" s="4" t="s">
        <v>390</v>
      </c>
      <c r="C55" s="4" t="s">
        <v>127</v>
      </c>
      <c r="D55" s="4" t="s">
        <v>391</v>
      </c>
      <c r="E55" s="4" t="s">
        <v>392</v>
      </c>
      <c r="F55" s="4" t="s">
        <v>102</v>
      </c>
      <c r="G55" s="4" t="s">
        <v>287</v>
      </c>
      <c r="H55" s="4" t="s">
        <v>393</v>
      </c>
      <c r="I55" s="4">
        <v>130</v>
      </c>
      <c r="J55" s="4">
        <v>202</v>
      </c>
      <c r="K55" s="4">
        <f t="shared" si="3"/>
        <v>72</v>
      </c>
      <c r="L55" s="4">
        <v>1</v>
      </c>
      <c r="M55" s="4">
        <v>1</v>
      </c>
      <c r="N55" s="4">
        <v>1</v>
      </c>
      <c r="O55" s="4"/>
      <c r="P55" s="4"/>
      <c r="Q55" s="4"/>
      <c r="R55" s="4"/>
      <c r="S55" s="4"/>
      <c r="T55" s="4"/>
      <c r="U55" s="4">
        <v>1</v>
      </c>
      <c r="V55" s="4"/>
      <c r="W55" s="4"/>
      <c r="X55" s="4"/>
      <c r="Y55" s="4"/>
      <c r="Z55" s="4"/>
      <c r="AA55" s="4"/>
      <c r="AB55" s="4"/>
      <c r="AC55" s="4">
        <v>1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>
        <f t="shared" si="4"/>
        <v>5</v>
      </c>
    </row>
    <row r="56" spans="1:42" ht="45" customHeight="1" x14ac:dyDescent="0.25">
      <c r="A56" s="4" t="s">
        <v>394</v>
      </c>
      <c r="B56" s="4" t="s">
        <v>395</v>
      </c>
      <c r="C56" s="4" t="s">
        <v>396</v>
      </c>
      <c r="D56" s="4" t="s">
        <v>397</v>
      </c>
      <c r="E56" s="4" t="s">
        <v>398</v>
      </c>
      <c r="F56" s="4" t="s">
        <v>399</v>
      </c>
      <c r="G56" s="4" t="s">
        <v>354</v>
      </c>
      <c r="H56" s="4" t="s">
        <v>400</v>
      </c>
      <c r="I56" s="4">
        <v>1207</v>
      </c>
      <c r="J56" s="4">
        <v>1231</v>
      </c>
      <c r="K56" s="4">
        <f t="shared" si="3"/>
        <v>24</v>
      </c>
      <c r="L56" s="4"/>
      <c r="M56" s="4">
        <v>1</v>
      </c>
      <c r="N56" s="4"/>
      <c r="O56" s="4"/>
      <c r="P56" s="4"/>
      <c r="Q56" s="4">
        <v>1</v>
      </c>
      <c r="R56" s="4"/>
      <c r="S56" s="4"/>
      <c r="T56" s="4"/>
      <c r="U56" s="4"/>
      <c r="V56" s="4"/>
      <c r="W56" s="4"/>
      <c r="X56" s="4"/>
      <c r="Y56" s="4"/>
      <c r="Z56" s="4"/>
      <c r="AA56" s="4">
        <v>1</v>
      </c>
      <c r="AB56" s="4"/>
      <c r="AC56" s="4">
        <v>1</v>
      </c>
      <c r="AD56" s="4"/>
      <c r="AE56" s="4"/>
      <c r="AF56" s="4"/>
      <c r="AG56" s="4"/>
      <c r="AH56" s="4"/>
      <c r="AI56" s="4">
        <v>1</v>
      </c>
      <c r="AJ56" s="4"/>
      <c r="AK56" s="4"/>
      <c r="AL56" s="4"/>
      <c r="AM56" s="4"/>
      <c r="AN56" s="4"/>
      <c r="AO56" s="4"/>
      <c r="AP56" s="4">
        <f t="shared" si="4"/>
        <v>5</v>
      </c>
    </row>
    <row r="57" spans="1:42" ht="30" customHeight="1" x14ac:dyDescent="0.25">
      <c r="A57" s="4" t="s">
        <v>401</v>
      </c>
      <c r="B57" s="4" t="s">
        <v>402</v>
      </c>
      <c r="C57" s="4" t="s">
        <v>262</v>
      </c>
      <c r="D57" s="4" t="s">
        <v>403</v>
      </c>
      <c r="E57" s="4" t="s">
        <v>404</v>
      </c>
      <c r="F57" s="4" t="s">
        <v>40</v>
      </c>
      <c r="G57" s="4" t="s">
        <v>42</v>
      </c>
      <c r="H57" s="4" t="s">
        <v>405</v>
      </c>
      <c r="I57" s="4">
        <v>560</v>
      </c>
      <c r="J57" s="4">
        <v>636</v>
      </c>
      <c r="K57" s="4">
        <f t="shared" si="3"/>
        <v>76</v>
      </c>
      <c r="L57" s="4"/>
      <c r="M57" s="4"/>
      <c r="N57" s="4"/>
      <c r="O57" s="4"/>
      <c r="P57" s="4"/>
      <c r="Q57" s="4">
        <v>1</v>
      </c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>
        <v>1</v>
      </c>
      <c r="AE57" s="4">
        <v>1</v>
      </c>
      <c r="AF57" s="4">
        <v>1</v>
      </c>
      <c r="AG57" s="4"/>
      <c r="AH57" s="4"/>
      <c r="AI57" s="4">
        <v>1</v>
      </c>
      <c r="AJ57" s="4"/>
      <c r="AK57" s="4"/>
      <c r="AL57" s="4"/>
      <c r="AM57" s="4"/>
      <c r="AN57" s="4"/>
      <c r="AO57" s="4"/>
      <c r="AP57" s="4">
        <f t="shared" si="4"/>
        <v>5</v>
      </c>
    </row>
    <row r="58" spans="1:42" ht="45" customHeight="1" x14ac:dyDescent="0.25">
      <c r="A58" s="4" t="s">
        <v>406</v>
      </c>
      <c r="B58" s="4" t="s">
        <v>407</v>
      </c>
      <c r="C58" s="4" t="s">
        <v>408</v>
      </c>
      <c r="D58" s="4" t="s">
        <v>409</v>
      </c>
      <c r="E58" s="4" t="s">
        <v>410</v>
      </c>
      <c r="F58" s="4" t="s">
        <v>137</v>
      </c>
      <c r="G58" s="4" t="s">
        <v>138</v>
      </c>
      <c r="H58" s="4" t="s">
        <v>411</v>
      </c>
      <c r="I58" s="4">
        <v>347</v>
      </c>
      <c r="J58" s="4">
        <v>420</v>
      </c>
      <c r="K58" s="4">
        <f t="shared" si="3"/>
        <v>73</v>
      </c>
      <c r="L58" s="4"/>
      <c r="M58" s="4"/>
      <c r="N58" s="4">
        <v>1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>
        <v>1</v>
      </c>
      <c r="AE58" s="4"/>
      <c r="AF58" s="4">
        <v>1</v>
      </c>
      <c r="AG58" s="4"/>
      <c r="AH58" s="4"/>
      <c r="AI58" s="4">
        <v>1</v>
      </c>
      <c r="AJ58" s="4"/>
      <c r="AK58" s="4"/>
      <c r="AL58" s="4"/>
      <c r="AM58" s="4"/>
      <c r="AN58" s="4">
        <v>1</v>
      </c>
      <c r="AO58" s="4"/>
      <c r="AP58" s="4">
        <f t="shared" si="4"/>
        <v>5</v>
      </c>
    </row>
    <row r="59" spans="1:42" ht="45" customHeight="1" x14ac:dyDescent="0.25">
      <c r="A59" s="4" t="s">
        <v>412</v>
      </c>
      <c r="B59" s="4" t="s">
        <v>413</v>
      </c>
      <c r="C59" s="4" t="s">
        <v>75</v>
      </c>
      <c r="D59" s="4" t="s">
        <v>414</v>
      </c>
      <c r="E59" s="4" t="s">
        <v>415</v>
      </c>
      <c r="F59" s="4" t="s">
        <v>416</v>
      </c>
      <c r="G59" s="4" t="s">
        <v>280</v>
      </c>
      <c r="H59" s="4" t="s">
        <v>417</v>
      </c>
      <c r="I59" s="4" t="s">
        <v>418</v>
      </c>
      <c r="J59" s="4" t="s">
        <v>88</v>
      </c>
      <c r="K59" s="4" t="str">
        <f t="shared" si="3"/>
        <v/>
      </c>
      <c r="L59" s="4">
        <v>1</v>
      </c>
      <c r="M59" s="4"/>
      <c r="N59" s="4">
        <v>1</v>
      </c>
      <c r="O59" s="4"/>
      <c r="P59" s="4"/>
      <c r="Q59" s="4">
        <v>1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>
        <v>1</v>
      </c>
      <c r="AD59" s="4"/>
      <c r="AE59" s="4"/>
      <c r="AF59" s="4"/>
      <c r="AG59" s="4"/>
      <c r="AH59" s="4"/>
      <c r="AI59" s="4">
        <v>1</v>
      </c>
      <c r="AJ59" s="4"/>
      <c r="AK59" s="4"/>
      <c r="AL59" s="4"/>
      <c r="AM59" s="4"/>
      <c r="AN59" s="4"/>
      <c r="AO59" s="4"/>
      <c r="AP59" s="4">
        <f t="shared" si="4"/>
        <v>5</v>
      </c>
    </row>
    <row r="60" spans="1:42" ht="30" customHeight="1" x14ac:dyDescent="0.25">
      <c r="A60" s="4" t="s">
        <v>419</v>
      </c>
      <c r="B60" s="4" t="s">
        <v>420</v>
      </c>
      <c r="C60" s="4" t="s">
        <v>421</v>
      </c>
      <c r="D60" s="4" t="s">
        <v>422</v>
      </c>
      <c r="E60" s="4" t="s">
        <v>423</v>
      </c>
      <c r="F60" s="4" t="s">
        <v>424</v>
      </c>
      <c r="G60" s="4" t="s">
        <v>27</v>
      </c>
      <c r="H60" s="4" t="s">
        <v>425</v>
      </c>
      <c r="I60" s="4">
        <v>1869</v>
      </c>
      <c r="J60" s="4">
        <v>1947</v>
      </c>
      <c r="K60" s="4">
        <f t="shared" si="3"/>
        <v>78</v>
      </c>
      <c r="L60" s="4"/>
      <c r="M60" s="4"/>
      <c r="N60" s="4"/>
      <c r="O60" s="4">
        <v>1</v>
      </c>
      <c r="P60" s="4"/>
      <c r="Q60" s="4">
        <v>1</v>
      </c>
      <c r="R60" s="4"/>
      <c r="S60" s="4"/>
      <c r="T60" s="4"/>
      <c r="U60" s="4"/>
      <c r="V60" s="4"/>
      <c r="W60" s="4"/>
      <c r="X60" s="4"/>
      <c r="Y60" s="4"/>
      <c r="Z60" s="4"/>
      <c r="AA60" s="4">
        <v>1</v>
      </c>
      <c r="AB60" s="4"/>
      <c r="AC60" s="4">
        <v>1</v>
      </c>
      <c r="AD60" s="4"/>
      <c r="AE60" s="4"/>
      <c r="AF60" s="4"/>
      <c r="AG60" s="4"/>
      <c r="AH60" s="4"/>
      <c r="AI60" s="4">
        <v>1</v>
      </c>
      <c r="AJ60" s="4"/>
      <c r="AK60" s="4"/>
      <c r="AL60" s="4"/>
      <c r="AM60" s="4"/>
      <c r="AN60" s="4"/>
      <c r="AO60" s="4"/>
      <c r="AP60" s="4">
        <f t="shared" si="4"/>
        <v>5</v>
      </c>
    </row>
    <row r="61" spans="1:42" ht="45" customHeight="1" x14ac:dyDescent="0.25">
      <c r="A61" s="4" t="s">
        <v>426</v>
      </c>
      <c r="B61" s="4" t="s">
        <v>427</v>
      </c>
      <c r="C61" s="4" t="s">
        <v>149</v>
      </c>
      <c r="D61" s="4" t="s">
        <v>428</v>
      </c>
      <c r="E61" s="4" t="s">
        <v>429</v>
      </c>
      <c r="F61" s="4" t="s">
        <v>430</v>
      </c>
      <c r="G61" s="4" t="s">
        <v>95</v>
      </c>
      <c r="H61" s="4" t="s">
        <v>431</v>
      </c>
      <c r="I61" s="4">
        <v>1651</v>
      </c>
      <c r="J61" s="4">
        <v>1719</v>
      </c>
      <c r="K61" s="4">
        <f t="shared" si="3"/>
        <v>68</v>
      </c>
      <c r="L61" s="4"/>
      <c r="M61" s="4"/>
      <c r="N61" s="4"/>
      <c r="O61" s="4"/>
      <c r="P61" s="4"/>
      <c r="Q61" s="4"/>
      <c r="R61" s="4"/>
      <c r="S61" s="4"/>
      <c r="T61" s="4"/>
      <c r="U61" s="4">
        <v>1</v>
      </c>
      <c r="V61" s="4"/>
      <c r="W61" s="4"/>
      <c r="X61" s="4"/>
      <c r="Y61" s="4"/>
      <c r="Z61" s="4"/>
      <c r="AA61" s="4"/>
      <c r="AB61" s="4">
        <v>1</v>
      </c>
      <c r="AC61" s="4">
        <v>1</v>
      </c>
      <c r="AD61" s="4">
        <v>1</v>
      </c>
      <c r="AE61" s="4"/>
      <c r="AF61" s="4"/>
      <c r="AG61" s="4">
        <v>1</v>
      </c>
      <c r="AH61" s="4"/>
      <c r="AI61" s="4"/>
      <c r="AJ61" s="4"/>
      <c r="AK61" s="4"/>
      <c r="AL61" s="4"/>
      <c r="AM61" s="4"/>
      <c r="AN61" s="4"/>
      <c r="AO61" s="4"/>
      <c r="AP61" s="4">
        <f>SUM(L61:AN61)</f>
        <v>5</v>
      </c>
    </row>
    <row r="62" spans="1:42" ht="45" customHeight="1" x14ac:dyDescent="0.25">
      <c r="A62" s="4" t="s">
        <v>432</v>
      </c>
      <c r="B62" s="4" t="s">
        <v>433</v>
      </c>
      <c r="C62" s="4" t="s">
        <v>91</v>
      </c>
      <c r="D62" s="4" t="s">
        <v>434</v>
      </c>
      <c r="E62" s="4" t="s">
        <v>435</v>
      </c>
      <c r="F62" s="4" t="s">
        <v>436</v>
      </c>
      <c r="G62" s="4" t="s">
        <v>437</v>
      </c>
      <c r="H62" s="4" t="s">
        <v>438</v>
      </c>
      <c r="I62" s="4">
        <v>1815</v>
      </c>
      <c r="J62" s="4">
        <v>1888</v>
      </c>
      <c r="K62" s="4">
        <f t="shared" si="3"/>
        <v>73</v>
      </c>
      <c r="L62" s="4"/>
      <c r="M62" s="4"/>
      <c r="N62" s="4"/>
      <c r="O62" s="4"/>
      <c r="P62" s="4"/>
      <c r="Q62" s="4">
        <v>1</v>
      </c>
      <c r="R62" s="4"/>
      <c r="S62" s="4"/>
      <c r="T62" s="4"/>
      <c r="U62" s="4">
        <v>1</v>
      </c>
      <c r="V62" s="4"/>
      <c r="W62" s="4"/>
      <c r="X62" s="4"/>
      <c r="Y62" s="4"/>
      <c r="Z62" s="4"/>
      <c r="AA62" s="4"/>
      <c r="AB62" s="4"/>
      <c r="AC62" s="4">
        <v>1</v>
      </c>
      <c r="AD62" s="4">
        <v>1</v>
      </c>
      <c r="AE62" s="4"/>
      <c r="AF62" s="4"/>
      <c r="AG62" s="4"/>
      <c r="AH62" s="4"/>
      <c r="AI62" s="4"/>
      <c r="AJ62" s="4"/>
      <c r="AK62" s="4"/>
      <c r="AL62" s="4"/>
      <c r="AM62" s="4"/>
      <c r="AN62" s="4">
        <v>1</v>
      </c>
      <c r="AO62" s="4"/>
      <c r="AP62" s="4">
        <f>SUM(L62:AO62)</f>
        <v>5</v>
      </c>
    </row>
    <row r="63" spans="1:42" ht="45" customHeight="1" x14ac:dyDescent="0.25">
      <c r="A63" s="4" t="s">
        <v>439</v>
      </c>
      <c r="B63" s="4" t="s">
        <v>440</v>
      </c>
      <c r="C63" s="4" t="s">
        <v>127</v>
      </c>
      <c r="D63" s="4" t="s">
        <v>441</v>
      </c>
      <c r="E63" s="4" t="s">
        <v>442</v>
      </c>
      <c r="F63" s="4" t="s">
        <v>443</v>
      </c>
      <c r="G63" s="4" t="s">
        <v>23</v>
      </c>
      <c r="H63" s="4" t="s">
        <v>444</v>
      </c>
      <c r="I63" s="4">
        <v>349</v>
      </c>
      <c r="J63" s="4">
        <v>407</v>
      </c>
      <c r="K63" s="4">
        <f t="shared" si="3"/>
        <v>58</v>
      </c>
      <c r="L63" s="4"/>
      <c r="M63" s="4">
        <v>1</v>
      </c>
      <c r="N63" s="4"/>
      <c r="O63" s="4"/>
      <c r="P63" s="4"/>
      <c r="Q63" s="4"/>
      <c r="R63" s="4"/>
      <c r="S63" s="4">
        <v>1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>
        <v>1</v>
      </c>
      <c r="AE63" s="4"/>
      <c r="AF63" s="4"/>
      <c r="AG63" s="4"/>
      <c r="AH63" s="4"/>
      <c r="AI63" s="4">
        <v>1</v>
      </c>
      <c r="AJ63" s="4"/>
      <c r="AK63" s="4"/>
      <c r="AL63" s="4"/>
      <c r="AM63" s="4"/>
      <c r="AN63" s="4">
        <v>1</v>
      </c>
      <c r="AO63" s="4"/>
      <c r="AP63" s="4">
        <f>SUM(L63:AO63)</f>
        <v>5</v>
      </c>
    </row>
    <row r="64" spans="1:42" ht="45" customHeight="1" x14ac:dyDescent="0.25">
      <c r="A64" s="4" t="s">
        <v>445</v>
      </c>
      <c r="B64" s="4" t="s">
        <v>446</v>
      </c>
      <c r="C64" s="4" t="s">
        <v>262</v>
      </c>
      <c r="D64" s="4" t="s">
        <v>447</v>
      </c>
      <c r="E64" s="4" t="s">
        <v>448</v>
      </c>
      <c r="F64" s="4" t="s">
        <v>449</v>
      </c>
      <c r="G64" s="4" t="s">
        <v>450</v>
      </c>
      <c r="H64" s="4" t="s">
        <v>451</v>
      </c>
      <c r="I64" s="4">
        <v>1542</v>
      </c>
      <c r="J64" s="4">
        <v>1591</v>
      </c>
      <c r="K64" s="4">
        <f t="shared" si="3"/>
        <v>49</v>
      </c>
      <c r="L64" s="4">
        <v>1</v>
      </c>
      <c r="M64" s="4"/>
      <c r="N64" s="4"/>
      <c r="O64" s="4"/>
      <c r="P64" s="4"/>
      <c r="Q64" s="4"/>
      <c r="R64" s="4"/>
      <c r="S64" s="4"/>
      <c r="T64" s="4"/>
      <c r="U64" s="4">
        <v>1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>
        <f>SUM(L64:AN64)</f>
        <v>2</v>
      </c>
    </row>
    <row r="65" spans="1:42" ht="30" customHeight="1" x14ac:dyDescent="0.25">
      <c r="A65" s="4" t="s">
        <v>452</v>
      </c>
      <c r="B65" s="4" t="s">
        <v>453</v>
      </c>
      <c r="C65" s="4" t="s">
        <v>149</v>
      </c>
      <c r="D65" s="4" t="s">
        <v>454</v>
      </c>
      <c r="E65" s="4" t="s">
        <v>455</v>
      </c>
      <c r="F65" s="4" t="s">
        <v>456</v>
      </c>
      <c r="G65" s="4" t="s">
        <v>45</v>
      </c>
      <c r="H65" s="4" t="s">
        <v>457</v>
      </c>
      <c r="I65" s="4">
        <v>1786</v>
      </c>
      <c r="J65" s="4">
        <v>1859</v>
      </c>
      <c r="K65" s="4">
        <f t="shared" si="3"/>
        <v>73</v>
      </c>
      <c r="L65" s="4"/>
      <c r="M65" s="4"/>
      <c r="N65" s="4"/>
      <c r="O65" s="4"/>
      <c r="P65" s="4"/>
      <c r="Q65" s="4">
        <v>1</v>
      </c>
      <c r="R65" s="4"/>
      <c r="S65" s="4"/>
      <c r="T65" s="4"/>
      <c r="U65" s="4">
        <v>1</v>
      </c>
      <c r="V65" s="4"/>
      <c r="W65" s="4"/>
      <c r="X65" s="4"/>
      <c r="Y65" s="4"/>
      <c r="Z65" s="4"/>
      <c r="AA65" s="4">
        <v>1</v>
      </c>
      <c r="AB65" s="4"/>
      <c r="AC65" s="4">
        <v>1</v>
      </c>
      <c r="AD65" s="4"/>
      <c r="AE65" s="4"/>
      <c r="AF65" s="4"/>
      <c r="AG65" s="4"/>
      <c r="AH65" s="4"/>
      <c r="AI65" s="4">
        <v>1</v>
      </c>
      <c r="AJ65" s="4"/>
      <c r="AK65" s="4"/>
      <c r="AL65" s="4"/>
      <c r="AM65" s="4"/>
      <c r="AN65" s="4"/>
      <c r="AO65" s="4"/>
      <c r="AP65" s="4">
        <f>SUM(L65:AO65)</f>
        <v>5</v>
      </c>
    </row>
    <row r="66" spans="1:42" ht="45" customHeight="1" x14ac:dyDescent="0.25">
      <c r="A66" s="4" t="s">
        <v>458</v>
      </c>
      <c r="B66" s="4" t="s">
        <v>459</v>
      </c>
      <c r="C66" s="4" t="s">
        <v>276</v>
      </c>
      <c r="D66" s="4" t="s">
        <v>460</v>
      </c>
      <c r="E66" s="4" t="s">
        <v>461</v>
      </c>
      <c r="F66" s="4" t="s">
        <v>462</v>
      </c>
      <c r="G66" s="4" t="s">
        <v>23</v>
      </c>
      <c r="H66" s="4" t="s">
        <v>463</v>
      </c>
      <c r="I66" s="4">
        <v>1920</v>
      </c>
      <c r="J66" s="4">
        <v>2005</v>
      </c>
      <c r="K66" s="4">
        <f t="shared" si="3"/>
        <v>85</v>
      </c>
      <c r="L66" s="4"/>
      <c r="M66" s="4">
        <v>1</v>
      </c>
      <c r="N66" s="4">
        <v>1</v>
      </c>
      <c r="O66" s="4"/>
      <c r="P66" s="4"/>
      <c r="Q66" s="4">
        <v>1</v>
      </c>
      <c r="R66" s="4"/>
      <c r="S66" s="4"/>
      <c r="T66" s="4"/>
      <c r="U66" s="4">
        <v>1</v>
      </c>
      <c r="V66" s="4"/>
      <c r="W66" s="4"/>
      <c r="X66" s="4"/>
      <c r="Y66" s="4"/>
      <c r="Z66" s="4"/>
      <c r="AA66" s="4"/>
      <c r="AB66" s="4"/>
      <c r="AC66" s="4"/>
      <c r="AD66" s="4">
        <v>1</v>
      </c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>
        <f>SUM(L66:AO66)</f>
        <v>5</v>
      </c>
    </row>
    <row r="67" spans="1:42" ht="30" customHeight="1" x14ac:dyDescent="0.25">
      <c r="A67" s="4" t="s">
        <v>464</v>
      </c>
      <c r="B67" s="4" t="s">
        <v>465</v>
      </c>
      <c r="C67" s="4" t="s">
        <v>149</v>
      </c>
      <c r="D67" s="4" t="s">
        <v>466</v>
      </c>
      <c r="E67" s="4" t="s">
        <v>467</v>
      </c>
      <c r="F67" s="4" t="s">
        <v>468</v>
      </c>
      <c r="G67" s="4" t="s">
        <v>23</v>
      </c>
      <c r="H67" s="4" t="s">
        <v>469</v>
      </c>
      <c r="I67" s="4">
        <v>1412</v>
      </c>
      <c r="J67" s="4">
        <v>1431</v>
      </c>
      <c r="K67" s="4">
        <f t="shared" ref="K67:K98" si="5">IF(AND(ISNUMBER(I67),ISNUMBER(J67)),J67-I67,"")</f>
        <v>19</v>
      </c>
      <c r="L67" s="4"/>
      <c r="M67" s="4">
        <v>1</v>
      </c>
      <c r="N67" s="4">
        <v>1</v>
      </c>
      <c r="O67" s="4"/>
      <c r="P67" s="4"/>
      <c r="Q67" s="4"/>
      <c r="R67" s="4"/>
      <c r="S67" s="4">
        <v>1</v>
      </c>
      <c r="T67" s="4"/>
      <c r="U67" s="4">
        <v>1</v>
      </c>
      <c r="V67" s="4"/>
      <c r="W67" s="4"/>
      <c r="X67" s="4"/>
      <c r="Y67" s="4"/>
      <c r="Z67" s="4"/>
      <c r="AA67" s="4"/>
      <c r="AB67" s="4"/>
      <c r="AC67" s="4"/>
      <c r="AD67" s="4">
        <v>1</v>
      </c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>
        <f>SUM(L67:AO67)</f>
        <v>5</v>
      </c>
    </row>
    <row r="68" spans="1:42" ht="30" customHeight="1" x14ac:dyDescent="0.25">
      <c r="A68" s="4" t="s">
        <v>470</v>
      </c>
      <c r="B68" s="4" t="s">
        <v>471</v>
      </c>
      <c r="C68" s="4" t="s">
        <v>262</v>
      </c>
      <c r="D68" s="4" t="s">
        <v>472</v>
      </c>
      <c r="E68" s="4" t="s">
        <v>473</v>
      </c>
      <c r="F68" s="4" t="s">
        <v>474</v>
      </c>
      <c r="G68" s="4" t="s">
        <v>145</v>
      </c>
      <c r="H68" s="4" t="s">
        <v>475</v>
      </c>
      <c r="I68" s="4">
        <v>1713</v>
      </c>
      <c r="J68" s="4">
        <v>1784</v>
      </c>
      <c r="K68" s="4">
        <f t="shared" si="5"/>
        <v>71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>
        <v>1</v>
      </c>
      <c r="AD68" s="4">
        <v>1</v>
      </c>
      <c r="AE68" s="4"/>
      <c r="AF68" s="4"/>
      <c r="AG68" s="4">
        <v>1</v>
      </c>
      <c r="AH68" s="4"/>
      <c r="AI68" s="4"/>
      <c r="AJ68" s="4"/>
      <c r="AK68" s="4"/>
      <c r="AL68" s="4"/>
      <c r="AM68" s="4"/>
      <c r="AN68" s="4"/>
      <c r="AO68" s="4"/>
      <c r="AP68" s="4">
        <f>SUM(L68:AN68)</f>
        <v>3</v>
      </c>
    </row>
    <row r="69" spans="1:42" ht="45" customHeight="1" x14ac:dyDescent="0.25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4" t="s">
        <v>482</v>
      </c>
      <c r="H69" s="4" t="s">
        <v>483</v>
      </c>
      <c r="I69" s="4">
        <v>1656</v>
      </c>
      <c r="J69" s="4">
        <v>1680</v>
      </c>
      <c r="K69" s="4">
        <f t="shared" si="5"/>
        <v>24</v>
      </c>
      <c r="L69" s="4"/>
      <c r="M69" s="4"/>
      <c r="N69" s="4">
        <v>1</v>
      </c>
      <c r="O69" s="4"/>
      <c r="P69" s="4"/>
      <c r="Q69" s="4"/>
      <c r="R69" s="4">
        <v>1</v>
      </c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>
        <v>1</v>
      </c>
      <c r="AJ69" s="4"/>
      <c r="AK69" s="4">
        <v>1</v>
      </c>
      <c r="AL69" s="4"/>
      <c r="AM69" s="4"/>
      <c r="AN69" s="4"/>
      <c r="AO69" s="4"/>
      <c r="AP69" s="4">
        <f>SUM(L69:AO69)</f>
        <v>4</v>
      </c>
    </row>
    <row r="70" spans="1:42" ht="45" customHeight="1" x14ac:dyDescent="0.25">
      <c r="A70" s="4" t="s">
        <v>484</v>
      </c>
      <c r="B70" s="4" t="s">
        <v>485</v>
      </c>
      <c r="C70" s="4" t="s">
        <v>486</v>
      </c>
      <c r="D70" s="4" t="s">
        <v>487</v>
      </c>
      <c r="E70" s="4" t="s">
        <v>488</v>
      </c>
      <c r="F70" s="4" t="s">
        <v>489</v>
      </c>
      <c r="G70" s="4" t="s">
        <v>490</v>
      </c>
      <c r="H70" s="4" t="s">
        <v>491</v>
      </c>
      <c r="I70" s="4">
        <v>1874</v>
      </c>
      <c r="J70" s="4">
        <v>1949</v>
      </c>
      <c r="K70" s="4">
        <f t="shared" si="5"/>
        <v>75</v>
      </c>
      <c r="L70" s="4"/>
      <c r="M70" s="4">
        <v>1</v>
      </c>
      <c r="N70" s="4"/>
      <c r="O70" s="4"/>
      <c r="P70" s="4"/>
      <c r="Q70" s="4"/>
      <c r="R70" s="4"/>
      <c r="S70" s="4"/>
      <c r="T70" s="4"/>
      <c r="U70" s="4">
        <v>1</v>
      </c>
      <c r="V70" s="4"/>
      <c r="W70" s="4"/>
      <c r="X70" s="4"/>
      <c r="Y70" s="4"/>
      <c r="Z70" s="4"/>
      <c r="AA70" s="4"/>
      <c r="AB70" s="4"/>
      <c r="AC70" s="4">
        <v>1</v>
      </c>
      <c r="AD70" s="4">
        <v>1</v>
      </c>
      <c r="AE70" s="4"/>
      <c r="AF70" s="4"/>
      <c r="AG70" s="4"/>
      <c r="AH70" s="4"/>
      <c r="AI70" s="4">
        <v>1</v>
      </c>
      <c r="AJ70" s="4"/>
      <c r="AK70" s="4"/>
      <c r="AL70" s="4"/>
      <c r="AM70" s="4"/>
      <c r="AN70" s="4"/>
      <c r="AO70" s="4"/>
      <c r="AP70" s="4">
        <f>SUM(L70:AO70)</f>
        <v>5</v>
      </c>
    </row>
    <row r="71" spans="1:42" ht="30" customHeight="1" x14ac:dyDescent="0.25">
      <c r="A71" s="4" t="s">
        <v>492</v>
      </c>
      <c r="B71" s="4" t="s">
        <v>493</v>
      </c>
      <c r="C71" s="4" t="s">
        <v>91</v>
      </c>
      <c r="D71" s="4" t="s">
        <v>494</v>
      </c>
      <c r="E71" s="4" t="s">
        <v>495</v>
      </c>
      <c r="F71" s="4" t="s">
        <v>496</v>
      </c>
      <c r="G71" s="4" t="s">
        <v>103</v>
      </c>
      <c r="H71" s="4" t="s">
        <v>497</v>
      </c>
      <c r="I71" s="4">
        <v>400</v>
      </c>
      <c r="J71" s="4">
        <v>461</v>
      </c>
      <c r="K71" s="4">
        <f t="shared" si="5"/>
        <v>61</v>
      </c>
      <c r="L71" s="4"/>
      <c r="M71" s="4">
        <v>1</v>
      </c>
      <c r="N71" s="4"/>
      <c r="O71" s="4"/>
      <c r="P71" s="4"/>
      <c r="Q71" s="4"/>
      <c r="R71" s="4"/>
      <c r="S71" s="4"/>
      <c r="T71" s="4"/>
      <c r="U71" s="4">
        <v>1</v>
      </c>
      <c r="V71" s="4">
        <v>1</v>
      </c>
      <c r="W71" s="4"/>
      <c r="X71" s="4"/>
      <c r="Y71" s="4"/>
      <c r="Z71" s="4">
        <v>1</v>
      </c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>
        <f>SUM(L71:AN71)</f>
        <v>4</v>
      </c>
    </row>
    <row r="72" spans="1:42" ht="60" customHeight="1" x14ac:dyDescent="0.25">
      <c r="A72" s="4" t="s">
        <v>498</v>
      </c>
      <c r="B72" s="4" t="s">
        <v>440</v>
      </c>
      <c r="C72" s="4" t="s">
        <v>127</v>
      </c>
      <c r="D72" s="4" t="s">
        <v>499</v>
      </c>
      <c r="E72" s="4" t="s">
        <v>500</v>
      </c>
      <c r="F72" s="4" t="s">
        <v>501</v>
      </c>
      <c r="G72" s="4" t="s">
        <v>502</v>
      </c>
      <c r="H72" s="4" t="s">
        <v>503</v>
      </c>
      <c r="I72" s="4" t="s">
        <v>88</v>
      </c>
      <c r="J72" s="4" t="s">
        <v>88</v>
      </c>
      <c r="K72" s="4" t="str">
        <f t="shared" si="5"/>
        <v/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>
        <v>1</v>
      </c>
      <c r="AB72" s="4"/>
      <c r="AC72" s="4">
        <v>1</v>
      </c>
      <c r="AD72" s="4">
        <v>1</v>
      </c>
      <c r="AE72" s="4">
        <v>1</v>
      </c>
      <c r="AF72" s="4"/>
      <c r="AG72" s="4">
        <v>1</v>
      </c>
      <c r="AH72" s="4"/>
      <c r="AI72" s="4"/>
      <c r="AJ72" s="4"/>
      <c r="AK72" s="4"/>
      <c r="AL72" s="4"/>
      <c r="AM72" s="4"/>
      <c r="AN72" s="4"/>
      <c r="AO72" s="4"/>
      <c r="AP72" s="4">
        <f>SUM(L72:AN72)</f>
        <v>5</v>
      </c>
    </row>
    <row r="73" spans="1:42" ht="30" customHeight="1" x14ac:dyDescent="0.25">
      <c r="A73" s="4" t="s">
        <v>504</v>
      </c>
      <c r="B73" s="4" t="s">
        <v>505</v>
      </c>
      <c r="C73" s="4" t="s">
        <v>91</v>
      </c>
      <c r="D73" s="4" t="s">
        <v>506</v>
      </c>
      <c r="E73" s="4" t="s">
        <v>507</v>
      </c>
      <c r="F73" s="4" t="s">
        <v>508</v>
      </c>
      <c r="G73" s="4" t="s">
        <v>95</v>
      </c>
      <c r="H73" s="4" t="s">
        <v>509</v>
      </c>
      <c r="I73" s="4">
        <v>1568</v>
      </c>
      <c r="J73" s="4">
        <v>1591</v>
      </c>
      <c r="K73" s="4">
        <f t="shared" si="5"/>
        <v>23</v>
      </c>
      <c r="L73" s="4"/>
      <c r="M73" s="4"/>
      <c r="N73" s="4"/>
      <c r="O73" s="4"/>
      <c r="P73" s="4"/>
      <c r="Q73" s="4">
        <v>1</v>
      </c>
      <c r="R73" s="4"/>
      <c r="S73" s="4"/>
      <c r="T73" s="4"/>
      <c r="U73" s="4"/>
      <c r="V73" s="4"/>
      <c r="W73" s="4"/>
      <c r="X73" s="4"/>
      <c r="Y73" s="4"/>
      <c r="Z73" s="4"/>
      <c r="AA73" s="4">
        <v>1</v>
      </c>
      <c r="AB73" s="4"/>
      <c r="AC73" s="4"/>
      <c r="AD73" s="4"/>
      <c r="AE73" s="4">
        <v>1</v>
      </c>
      <c r="AF73" s="4"/>
      <c r="AG73" s="4"/>
      <c r="AH73" s="4"/>
      <c r="AI73" s="4"/>
      <c r="AJ73" s="4">
        <v>1</v>
      </c>
      <c r="AK73" s="4"/>
      <c r="AL73" s="4"/>
      <c r="AM73" s="4"/>
      <c r="AN73" s="4"/>
      <c r="AO73" s="4"/>
      <c r="AP73" s="4">
        <f>SUM(L73:AN73)</f>
        <v>4</v>
      </c>
    </row>
    <row r="74" spans="1:42" ht="60" customHeight="1" x14ac:dyDescent="0.25">
      <c r="A74" s="4" t="s">
        <v>510</v>
      </c>
      <c r="B74" s="4" t="s">
        <v>511</v>
      </c>
      <c r="C74" s="4" t="s">
        <v>149</v>
      </c>
      <c r="D74" s="4" t="s">
        <v>512</v>
      </c>
      <c r="E74" s="4" t="s">
        <v>513</v>
      </c>
      <c r="F74" s="4" t="s">
        <v>514</v>
      </c>
      <c r="G74" s="4" t="s">
        <v>37</v>
      </c>
      <c r="H74" s="4" t="s">
        <v>515</v>
      </c>
      <c r="I74" s="4">
        <v>1591</v>
      </c>
      <c r="J74" s="4">
        <v>1660</v>
      </c>
      <c r="K74" s="4">
        <f t="shared" si="5"/>
        <v>69</v>
      </c>
      <c r="L74" s="4"/>
      <c r="M74" s="4"/>
      <c r="N74" s="4"/>
      <c r="O74" s="4"/>
      <c r="P74" s="4"/>
      <c r="Q74" s="4">
        <v>1</v>
      </c>
      <c r="R74" s="4"/>
      <c r="S74" s="4"/>
      <c r="T74" s="4"/>
      <c r="U74" s="4">
        <v>1</v>
      </c>
      <c r="V74" s="4"/>
      <c r="W74" s="4"/>
      <c r="X74" s="4"/>
      <c r="Y74" s="4"/>
      <c r="Z74" s="4"/>
      <c r="AA74" s="4">
        <v>1</v>
      </c>
      <c r="AB74" s="4"/>
      <c r="AC74" s="4">
        <v>1</v>
      </c>
      <c r="AD74" s="4"/>
      <c r="AE74" s="4"/>
      <c r="AF74" s="4"/>
      <c r="AG74" s="4"/>
      <c r="AH74" s="4"/>
      <c r="AI74" s="4">
        <v>1</v>
      </c>
      <c r="AJ74" s="4"/>
      <c r="AK74" s="4"/>
      <c r="AL74" s="4"/>
      <c r="AM74" s="4"/>
      <c r="AN74" s="4"/>
      <c r="AO74" s="4"/>
      <c r="AP74" s="4">
        <f>SUM(L74:AO74)</f>
        <v>5</v>
      </c>
    </row>
    <row r="75" spans="1:42" ht="30" customHeight="1" x14ac:dyDescent="0.25">
      <c r="A75" s="4" t="s">
        <v>516</v>
      </c>
      <c r="B75" s="4" t="s">
        <v>517</v>
      </c>
      <c r="C75" s="4" t="s">
        <v>149</v>
      </c>
      <c r="D75" s="4" t="s">
        <v>518</v>
      </c>
      <c r="E75" s="4" t="s">
        <v>519</v>
      </c>
      <c r="F75" s="4" t="s">
        <v>94</v>
      </c>
      <c r="G75" s="4" t="s">
        <v>37</v>
      </c>
      <c r="H75" s="4" t="s">
        <v>520</v>
      </c>
      <c r="I75" s="4">
        <v>1789</v>
      </c>
      <c r="J75" s="4">
        <v>1840</v>
      </c>
      <c r="K75" s="4">
        <f t="shared" si="5"/>
        <v>51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>
        <v>1</v>
      </c>
      <c r="AB75" s="4">
        <v>1</v>
      </c>
      <c r="AC75" s="4">
        <v>1</v>
      </c>
      <c r="AD75" s="4">
        <v>1</v>
      </c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>
        <f>SUM(L75:AN75)</f>
        <v>4</v>
      </c>
    </row>
    <row r="76" spans="1:42" ht="30" customHeight="1" x14ac:dyDescent="0.25">
      <c r="A76" s="4" t="s">
        <v>521</v>
      </c>
      <c r="B76" s="4" t="s">
        <v>522</v>
      </c>
      <c r="C76" s="4" t="s">
        <v>91</v>
      </c>
      <c r="D76" s="4" t="s">
        <v>523</v>
      </c>
      <c r="E76" s="4" t="s">
        <v>524</v>
      </c>
      <c r="F76" s="4" t="s">
        <v>525</v>
      </c>
      <c r="G76" s="4" t="s">
        <v>35</v>
      </c>
      <c r="H76" s="4" t="s">
        <v>526</v>
      </c>
      <c r="I76" s="4">
        <v>1890</v>
      </c>
      <c r="J76" s="4">
        <v>1902</v>
      </c>
      <c r="K76" s="4">
        <f t="shared" si="5"/>
        <v>12</v>
      </c>
      <c r="L76" s="4">
        <v>1</v>
      </c>
      <c r="M76" s="4">
        <v>1</v>
      </c>
      <c r="N76" s="4">
        <v>1</v>
      </c>
      <c r="O76" s="4"/>
      <c r="P76" s="4"/>
      <c r="Q76" s="4">
        <v>1</v>
      </c>
      <c r="R76" s="4"/>
      <c r="S76" s="4"/>
      <c r="T76" s="4"/>
      <c r="U76" s="4"/>
      <c r="V76" s="4"/>
      <c r="W76" s="4"/>
      <c r="X76" s="4"/>
      <c r="Y76" s="4">
        <v>1</v>
      </c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>
        <f>SUM(L76:AO76)</f>
        <v>5</v>
      </c>
    </row>
    <row r="77" spans="1:42" ht="30" customHeight="1" x14ac:dyDescent="0.25">
      <c r="A77" s="4" t="s">
        <v>527</v>
      </c>
      <c r="B77" s="4" t="s">
        <v>528</v>
      </c>
      <c r="C77" s="4" t="s">
        <v>75</v>
      </c>
      <c r="D77" s="4" t="s">
        <v>529</v>
      </c>
      <c r="E77" s="4" t="s">
        <v>530</v>
      </c>
      <c r="F77" s="4" t="s">
        <v>531</v>
      </c>
      <c r="G77" s="4" t="s">
        <v>280</v>
      </c>
      <c r="H77" s="4" t="s">
        <v>532</v>
      </c>
      <c r="I77" s="4">
        <v>1</v>
      </c>
      <c r="J77" s="4">
        <v>63</v>
      </c>
      <c r="K77" s="4">
        <f t="shared" si="5"/>
        <v>62</v>
      </c>
      <c r="L77" s="4"/>
      <c r="M77" s="4">
        <v>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>
        <v>1</v>
      </c>
      <c r="AI77" s="4"/>
      <c r="AJ77" s="4"/>
      <c r="AK77" s="4"/>
      <c r="AL77" s="4"/>
      <c r="AM77" s="4"/>
      <c r="AN77" s="4"/>
      <c r="AO77" s="4"/>
      <c r="AP77" s="4">
        <f>SUM(L77:AN77)</f>
        <v>2</v>
      </c>
    </row>
    <row r="78" spans="1:42" ht="30" customHeight="1" x14ac:dyDescent="0.25">
      <c r="A78" s="4" t="s">
        <v>533</v>
      </c>
      <c r="B78" s="4" t="s">
        <v>534</v>
      </c>
      <c r="C78" s="4" t="s">
        <v>75</v>
      </c>
      <c r="D78" s="4" t="s">
        <v>535</v>
      </c>
      <c r="E78" s="4" t="s">
        <v>536</v>
      </c>
      <c r="F78" s="4" t="s">
        <v>537</v>
      </c>
      <c r="G78" s="4" t="s">
        <v>95</v>
      </c>
      <c r="H78" s="4" t="s">
        <v>538</v>
      </c>
      <c r="I78" s="4">
        <v>1</v>
      </c>
      <c r="J78" s="4">
        <v>70</v>
      </c>
      <c r="K78" s="4">
        <f t="shared" si="5"/>
        <v>69</v>
      </c>
      <c r="L78" s="4"/>
      <c r="M78" s="4"/>
      <c r="N78" s="4"/>
      <c r="O78" s="4"/>
      <c r="P78" s="4"/>
      <c r="Q78" s="4">
        <v>1</v>
      </c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>
        <v>1</v>
      </c>
      <c r="AD78" s="4"/>
      <c r="AE78" s="4"/>
      <c r="AF78" s="4"/>
      <c r="AG78" s="4"/>
      <c r="AH78" s="4"/>
      <c r="AI78" s="4"/>
      <c r="AJ78" s="4"/>
      <c r="AK78" s="4"/>
      <c r="AL78" s="4"/>
      <c r="AM78" s="4">
        <v>1</v>
      </c>
      <c r="AN78" s="4"/>
      <c r="AO78" s="4"/>
      <c r="AP78" s="4">
        <f>SUM(L78:AN78)</f>
        <v>3</v>
      </c>
    </row>
    <row r="79" spans="1:42" ht="45" customHeight="1" x14ac:dyDescent="0.25">
      <c r="A79" s="4" t="s">
        <v>539</v>
      </c>
      <c r="B79" s="4" t="s">
        <v>540</v>
      </c>
      <c r="C79" s="4" t="s">
        <v>541</v>
      </c>
      <c r="D79" s="4" t="s">
        <v>542</v>
      </c>
      <c r="E79" s="4" t="s">
        <v>543</v>
      </c>
      <c r="F79" s="4" t="s">
        <v>544</v>
      </c>
      <c r="G79" s="4" t="s">
        <v>45</v>
      </c>
      <c r="H79" s="4" t="s">
        <v>545</v>
      </c>
      <c r="I79" s="4">
        <v>1579</v>
      </c>
      <c r="J79" s="4">
        <v>1639</v>
      </c>
      <c r="K79" s="4">
        <f t="shared" si="5"/>
        <v>60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>
        <v>1</v>
      </c>
      <c r="AD79" s="4"/>
      <c r="AE79" s="4"/>
      <c r="AF79" s="4"/>
      <c r="AG79" s="4"/>
      <c r="AH79" s="4"/>
      <c r="AI79" s="4">
        <v>1</v>
      </c>
      <c r="AJ79" s="4">
        <v>1</v>
      </c>
      <c r="AK79" s="4"/>
      <c r="AL79" s="4">
        <v>1</v>
      </c>
      <c r="AM79" s="4"/>
      <c r="AN79" s="4">
        <v>1</v>
      </c>
      <c r="AO79" s="4"/>
      <c r="AP79" s="4">
        <f>SUM(L79:AO79)</f>
        <v>5</v>
      </c>
    </row>
    <row r="80" spans="1:42" ht="30" customHeight="1" x14ac:dyDescent="0.25">
      <c r="A80" s="4" t="s">
        <v>546</v>
      </c>
      <c r="B80" s="4" t="s">
        <v>547</v>
      </c>
      <c r="C80" s="4" t="s">
        <v>276</v>
      </c>
      <c r="D80" s="4" t="s">
        <v>548</v>
      </c>
      <c r="E80" s="4" t="s">
        <v>549</v>
      </c>
      <c r="F80" s="4" t="s">
        <v>550</v>
      </c>
      <c r="G80" s="4" t="s">
        <v>551</v>
      </c>
      <c r="H80" s="4" t="s">
        <v>552</v>
      </c>
      <c r="I80" s="4">
        <v>1894</v>
      </c>
      <c r="J80" s="4">
        <v>1941</v>
      </c>
      <c r="K80" s="4">
        <f t="shared" si="5"/>
        <v>47</v>
      </c>
      <c r="L80" s="4">
        <v>1</v>
      </c>
      <c r="M80" s="4">
        <v>1</v>
      </c>
      <c r="N80" s="4">
        <v>1</v>
      </c>
      <c r="O80" s="4"/>
      <c r="P80" s="4"/>
      <c r="Q80" s="4">
        <v>1</v>
      </c>
      <c r="R80" s="4"/>
      <c r="S80" s="4"/>
      <c r="T80" s="4"/>
      <c r="U80" s="4"/>
      <c r="V80" s="4"/>
      <c r="W80" s="4"/>
      <c r="X80" s="4"/>
      <c r="Y80" s="4"/>
      <c r="Z80" s="4"/>
      <c r="AA80" s="4">
        <v>1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>
        <f>SUM(L80:AO80)</f>
        <v>5</v>
      </c>
    </row>
    <row r="81" spans="1:42" ht="30" customHeight="1" x14ac:dyDescent="0.25">
      <c r="A81" s="4" t="s">
        <v>553</v>
      </c>
      <c r="B81" s="4" t="s">
        <v>54</v>
      </c>
      <c r="C81" s="4" t="s">
        <v>55</v>
      </c>
      <c r="D81" s="4" t="s">
        <v>554</v>
      </c>
      <c r="E81" s="4" t="s">
        <v>555</v>
      </c>
      <c r="F81" s="4" t="s">
        <v>556</v>
      </c>
      <c r="G81" s="4" t="s">
        <v>450</v>
      </c>
      <c r="H81" s="4" t="s">
        <v>557</v>
      </c>
      <c r="I81" s="4">
        <v>331</v>
      </c>
      <c r="J81" s="4">
        <v>387</v>
      </c>
      <c r="K81" s="4">
        <f t="shared" si="5"/>
        <v>56</v>
      </c>
      <c r="L81" s="4"/>
      <c r="M81" s="4"/>
      <c r="N81" s="4">
        <v>1</v>
      </c>
      <c r="O81" s="4">
        <v>1</v>
      </c>
      <c r="P81" s="4">
        <v>1</v>
      </c>
      <c r="Q81" s="4">
        <v>1</v>
      </c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>
        <v>1</v>
      </c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>
        <f>SUM(L81:AO81)</f>
        <v>5</v>
      </c>
    </row>
    <row r="82" spans="1:42" ht="30" customHeight="1" x14ac:dyDescent="0.25">
      <c r="A82" s="4" t="s">
        <v>558</v>
      </c>
      <c r="B82" s="4" t="s">
        <v>559</v>
      </c>
      <c r="C82" s="4" t="s">
        <v>127</v>
      </c>
      <c r="D82" s="4" t="s">
        <v>560</v>
      </c>
      <c r="E82" s="4" t="s">
        <v>561</v>
      </c>
      <c r="F82" s="4" t="s">
        <v>562</v>
      </c>
      <c r="G82" s="4" t="s">
        <v>563</v>
      </c>
      <c r="H82" s="4" t="s">
        <v>564</v>
      </c>
      <c r="I82" s="4">
        <v>270</v>
      </c>
      <c r="J82" s="4">
        <v>343</v>
      </c>
      <c r="K82" s="4">
        <f t="shared" si="5"/>
        <v>73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>
        <v>1</v>
      </c>
      <c r="AC82" s="4"/>
      <c r="AD82" s="4">
        <v>1</v>
      </c>
      <c r="AE82" s="4"/>
      <c r="AF82" s="4"/>
      <c r="AG82" s="4">
        <v>1</v>
      </c>
      <c r="AH82" s="4"/>
      <c r="AI82" s="4"/>
      <c r="AJ82" s="4"/>
      <c r="AK82" s="4"/>
      <c r="AL82" s="4"/>
      <c r="AM82" s="4"/>
      <c r="AN82" s="4">
        <v>1</v>
      </c>
      <c r="AO82" s="4"/>
      <c r="AP82" s="4">
        <f>SUM(L82:AN82)</f>
        <v>4</v>
      </c>
    </row>
    <row r="83" spans="1:42" ht="30" customHeight="1" x14ac:dyDescent="0.25">
      <c r="A83" s="4" t="s">
        <v>565</v>
      </c>
      <c r="B83" s="4" t="s">
        <v>566</v>
      </c>
      <c r="C83" s="4" t="s">
        <v>62</v>
      </c>
      <c r="D83" s="4" t="s">
        <v>567</v>
      </c>
      <c r="E83" s="4" t="s">
        <v>568</v>
      </c>
      <c r="F83" s="4" t="s">
        <v>569</v>
      </c>
      <c r="G83" s="4" t="s">
        <v>145</v>
      </c>
      <c r="H83" s="4" t="s">
        <v>570</v>
      </c>
      <c r="I83" s="4">
        <v>1080</v>
      </c>
      <c r="J83" s="4">
        <v>1134</v>
      </c>
      <c r="K83" s="4">
        <f t="shared" si="5"/>
        <v>54</v>
      </c>
      <c r="L83" s="4"/>
      <c r="M83" s="4">
        <v>1</v>
      </c>
      <c r="N83" s="4">
        <v>1</v>
      </c>
      <c r="O83" s="4"/>
      <c r="P83" s="4"/>
      <c r="Q83" s="4"/>
      <c r="R83" s="4"/>
      <c r="S83" s="4"/>
      <c r="T83" s="4"/>
      <c r="U83" s="4">
        <v>1</v>
      </c>
      <c r="V83" s="4"/>
      <c r="W83" s="4"/>
      <c r="X83" s="4"/>
      <c r="Y83" s="4"/>
      <c r="Z83" s="4"/>
      <c r="AA83" s="4"/>
      <c r="AB83" s="4"/>
      <c r="AC83" s="4">
        <v>1</v>
      </c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>
        <f>SUM(L83:AN83)</f>
        <v>4</v>
      </c>
    </row>
    <row r="84" spans="1:42" ht="30" customHeight="1" x14ac:dyDescent="0.25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4" t="s">
        <v>23</v>
      </c>
      <c r="H84" s="4" t="s">
        <v>577</v>
      </c>
      <c r="I84" s="4">
        <v>1917</v>
      </c>
      <c r="J84" s="4">
        <v>1980</v>
      </c>
      <c r="K84" s="4">
        <f t="shared" si="5"/>
        <v>63</v>
      </c>
      <c r="L84" s="4"/>
      <c r="M84" s="4">
        <v>1</v>
      </c>
      <c r="N84" s="4">
        <v>1</v>
      </c>
      <c r="O84" s="4"/>
      <c r="P84" s="4"/>
      <c r="Q84" s="4"/>
      <c r="R84" s="4"/>
      <c r="S84" s="4"/>
      <c r="T84" s="4"/>
      <c r="U84" s="4">
        <v>1</v>
      </c>
      <c r="V84" s="4"/>
      <c r="W84" s="4"/>
      <c r="X84" s="4"/>
      <c r="Y84" s="4"/>
      <c r="Z84" s="4"/>
      <c r="AA84" s="4"/>
      <c r="AB84" s="4"/>
      <c r="AC84" s="4">
        <v>1</v>
      </c>
      <c r="AD84" s="4"/>
      <c r="AE84" s="4"/>
      <c r="AF84" s="4"/>
      <c r="AG84" s="4"/>
      <c r="AH84" s="4"/>
      <c r="AI84" s="4">
        <v>1</v>
      </c>
      <c r="AJ84" s="4"/>
      <c r="AK84" s="4"/>
      <c r="AL84" s="4"/>
      <c r="AM84" s="4"/>
      <c r="AN84" s="4"/>
      <c r="AO84" s="4"/>
      <c r="AP84" s="4">
        <f>SUM(L84:AO84)</f>
        <v>5</v>
      </c>
    </row>
    <row r="85" spans="1:42" ht="45" customHeight="1" x14ac:dyDescent="0.25">
      <c r="A85" s="4" t="s">
        <v>578</v>
      </c>
      <c r="B85" s="4" t="s">
        <v>579</v>
      </c>
      <c r="C85" s="4" t="s">
        <v>127</v>
      </c>
      <c r="D85" s="4" t="s">
        <v>580</v>
      </c>
      <c r="E85" s="4" t="s">
        <v>581</v>
      </c>
      <c r="F85" s="4" t="s">
        <v>582</v>
      </c>
      <c r="G85" s="4" t="s">
        <v>490</v>
      </c>
      <c r="H85" s="4" t="s">
        <v>583</v>
      </c>
      <c r="I85" s="4" t="s">
        <v>584</v>
      </c>
      <c r="J85" s="4" t="s">
        <v>585</v>
      </c>
      <c r="K85" s="4" t="str">
        <f t="shared" si="5"/>
        <v/>
      </c>
      <c r="L85" s="4"/>
      <c r="M85" s="4">
        <v>1</v>
      </c>
      <c r="N85" s="4">
        <v>1</v>
      </c>
      <c r="O85" s="4"/>
      <c r="P85" s="4"/>
      <c r="Q85" s="4"/>
      <c r="R85" s="4">
        <v>1</v>
      </c>
      <c r="S85" s="4"/>
      <c r="T85" s="4"/>
      <c r="U85" s="4">
        <v>1</v>
      </c>
      <c r="V85" s="4"/>
      <c r="W85" s="4"/>
      <c r="X85" s="4"/>
      <c r="Y85" s="4"/>
      <c r="Z85" s="4"/>
      <c r="AA85" s="4"/>
      <c r="AB85" s="4"/>
      <c r="AC85" s="4">
        <v>1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>
        <f>SUM(L85:AO85)</f>
        <v>5</v>
      </c>
    </row>
    <row r="86" spans="1:42" ht="45" customHeight="1" x14ac:dyDescent="0.25">
      <c r="A86" s="4" t="s">
        <v>586</v>
      </c>
      <c r="B86" s="4" t="s">
        <v>587</v>
      </c>
      <c r="C86" s="4" t="s">
        <v>91</v>
      </c>
      <c r="D86" s="4" t="s">
        <v>588</v>
      </c>
      <c r="E86" s="4" t="s">
        <v>589</v>
      </c>
      <c r="F86" s="4" t="s">
        <v>590</v>
      </c>
      <c r="G86" s="4" t="s">
        <v>450</v>
      </c>
      <c r="H86" s="4" t="s">
        <v>591</v>
      </c>
      <c r="I86" s="4">
        <v>1887</v>
      </c>
      <c r="J86" s="4">
        <v>1968</v>
      </c>
      <c r="K86" s="4">
        <f t="shared" si="5"/>
        <v>81</v>
      </c>
      <c r="L86" s="4"/>
      <c r="M86" s="4"/>
      <c r="N86" s="4">
        <v>1</v>
      </c>
      <c r="O86" s="4"/>
      <c r="P86" s="4"/>
      <c r="Q86" s="4">
        <v>1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>
        <v>1</v>
      </c>
      <c r="AE86" s="4">
        <v>1</v>
      </c>
      <c r="AF86" s="4"/>
      <c r="AG86" s="4"/>
      <c r="AH86" s="4"/>
      <c r="AI86" s="4">
        <v>1</v>
      </c>
      <c r="AJ86" s="4"/>
      <c r="AK86" s="4"/>
      <c r="AL86" s="4"/>
      <c r="AM86" s="4"/>
      <c r="AN86" s="4"/>
      <c r="AO86" s="4"/>
      <c r="AP86" s="4">
        <f>SUM(L86:AO86)</f>
        <v>5</v>
      </c>
    </row>
    <row r="87" spans="1:42" ht="30" customHeight="1" x14ac:dyDescent="0.25">
      <c r="A87" s="4" t="s">
        <v>592</v>
      </c>
      <c r="B87" s="4" t="s">
        <v>593</v>
      </c>
      <c r="C87" s="4" t="s">
        <v>127</v>
      </c>
      <c r="D87" s="4" t="s">
        <v>594</v>
      </c>
      <c r="E87" s="4" t="s">
        <v>595</v>
      </c>
      <c r="F87" s="4" t="s">
        <v>596</v>
      </c>
      <c r="G87" s="4" t="s">
        <v>37</v>
      </c>
      <c r="H87" s="4" t="s">
        <v>597</v>
      </c>
      <c r="I87" s="4">
        <v>275</v>
      </c>
      <c r="J87" s="4">
        <v>305</v>
      </c>
      <c r="K87" s="4">
        <f t="shared" si="5"/>
        <v>30</v>
      </c>
      <c r="L87" s="4"/>
      <c r="M87" s="4"/>
      <c r="N87" s="4"/>
      <c r="O87" s="4"/>
      <c r="P87" s="4"/>
      <c r="Q87" s="4">
        <v>1</v>
      </c>
      <c r="R87" s="4"/>
      <c r="S87" s="4"/>
      <c r="T87" s="4"/>
      <c r="U87" s="4"/>
      <c r="V87" s="4"/>
      <c r="W87" s="4"/>
      <c r="X87" s="4"/>
      <c r="Y87" s="4">
        <v>1</v>
      </c>
      <c r="Z87" s="4"/>
      <c r="AA87" s="4">
        <v>1</v>
      </c>
      <c r="AB87" s="4"/>
      <c r="AC87" s="4"/>
      <c r="AD87" s="4"/>
      <c r="AE87" s="4">
        <v>1</v>
      </c>
      <c r="AF87" s="4"/>
      <c r="AG87" s="4"/>
      <c r="AH87" s="4"/>
      <c r="AI87" s="4"/>
      <c r="AJ87" s="4">
        <v>1</v>
      </c>
      <c r="AK87" s="4"/>
      <c r="AL87" s="4"/>
      <c r="AM87" s="4"/>
      <c r="AN87" s="4"/>
      <c r="AO87" s="4"/>
      <c r="AP87" s="4">
        <f>SUM(L87:AN87)</f>
        <v>5</v>
      </c>
    </row>
    <row r="88" spans="1:42" ht="30" customHeight="1" x14ac:dyDescent="0.25">
      <c r="A88" s="4" t="s">
        <v>598</v>
      </c>
      <c r="B88" s="4" t="s">
        <v>599</v>
      </c>
      <c r="C88" s="4" t="s">
        <v>600</v>
      </c>
      <c r="D88" s="4" t="s">
        <v>601</v>
      </c>
      <c r="E88" s="4" t="s">
        <v>602</v>
      </c>
      <c r="F88" s="4" t="s">
        <v>603</v>
      </c>
      <c r="G88" s="4" t="s">
        <v>450</v>
      </c>
      <c r="H88" s="4" t="s">
        <v>604</v>
      </c>
      <c r="I88" s="4">
        <v>385</v>
      </c>
      <c r="J88" s="4">
        <v>461</v>
      </c>
      <c r="K88" s="4">
        <f t="shared" si="5"/>
        <v>76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>
        <v>1</v>
      </c>
      <c r="Z88" s="4"/>
      <c r="AA88" s="4"/>
      <c r="AB88" s="4"/>
      <c r="AC88" s="4"/>
      <c r="AD88" s="4"/>
      <c r="AE88" s="4"/>
      <c r="AF88" s="4"/>
      <c r="AG88" s="4"/>
      <c r="AH88" s="4">
        <v>1</v>
      </c>
      <c r="AI88" s="4">
        <v>1</v>
      </c>
      <c r="AJ88" s="4"/>
      <c r="AK88" s="4"/>
      <c r="AL88" s="4"/>
      <c r="AM88" s="4">
        <v>1</v>
      </c>
      <c r="AN88" s="4"/>
      <c r="AO88" s="4"/>
      <c r="AP88" s="4">
        <f>SUM(L88:AN88)</f>
        <v>4</v>
      </c>
    </row>
    <row r="89" spans="1:42" ht="45" customHeight="1" x14ac:dyDescent="0.25">
      <c r="A89" s="4" t="s">
        <v>605</v>
      </c>
      <c r="B89" s="4" t="s">
        <v>82</v>
      </c>
      <c r="C89" s="4" t="s">
        <v>75</v>
      </c>
      <c r="D89" s="4" t="s">
        <v>606</v>
      </c>
      <c r="E89" s="4" t="s">
        <v>607</v>
      </c>
      <c r="F89" s="4" t="s">
        <v>608</v>
      </c>
      <c r="G89" s="4" t="s">
        <v>24</v>
      </c>
      <c r="H89" s="4" t="s">
        <v>609</v>
      </c>
      <c r="I89" s="4" t="s">
        <v>418</v>
      </c>
      <c r="J89" s="4" t="s">
        <v>585</v>
      </c>
      <c r="K89" s="4" t="str">
        <f t="shared" si="5"/>
        <v/>
      </c>
      <c r="L89" s="4"/>
      <c r="M89" s="4">
        <v>1</v>
      </c>
      <c r="N89" s="4">
        <v>1</v>
      </c>
      <c r="O89" s="4"/>
      <c r="P89" s="4"/>
      <c r="Q89" s="4"/>
      <c r="R89" s="4"/>
      <c r="S89" s="4"/>
      <c r="T89" s="4"/>
      <c r="U89" s="4">
        <v>1</v>
      </c>
      <c r="V89" s="4"/>
      <c r="W89" s="4"/>
      <c r="X89" s="4"/>
      <c r="Y89" s="4"/>
      <c r="Z89" s="4"/>
      <c r="AA89" s="4"/>
      <c r="AB89" s="4"/>
      <c r="AC89" s="4">
        <v>1</v>
      </c>
      <c r="AD89" s="4">
        <v>1</v>
      </c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>
        <f>SUM(L89:AO89)</f>
        <v>5</v>
      </c>
    </row>
    <row r="90" spans="1:42" ht="60" customHeight="1" x14ac:dyDescent="0.25">
      <c r="A90" s="4" t="s">
        <v>610</v>
      </c>
      <c r="B90" s="4" t="s">
        <v>611</v>
      </c>
      <c r="C90" s="4" t="s">
        <v>262</v>
      </c>
      <c r="D90" s="4" t="s">
        <v>612</v>
      </c>
      <c r="E90" s="4" t="s">
        <v>613</v>
      </c>
      <c r="F90" s="4" t="s">
        <v>614</v>
      </c>
      <c r="G90" s="4" t="s">
        <v>37</v>
      </c>
      <c r="H90" s="4" t="s">
        <v>615</v>
      </c>
      <c r="I90" s="4">
        <v>1580</v>
      </c>
      <c r="J90" s="4">
        <v>1654</v>
      </c>
      <c r="K90" s="4">
        <f t="shared" si="5"/>
        <v>74</v>
      </c>
      <c r="L90" s="4"/>
      <c r="M90" s="4">
        <v>1</v>
      </c>
      <c r="N90" s="4"/>
      <c r="O90" s="4"/>
      <c r="P90" s="4"/>
      <c r="Q90" s="4"/>
      <c r="R90" s="4"/>
      <c r="S90" s="4"/>
      <c r="T90" s="4"/>
      <c r="U90" s="4">
        <v>1</v>
      </c>
      <c r="V90" s="4"/>
      <c r="W90" s="4"/>
      <c r="X90" s="4"/>
      <c r="Y90" s="4"/>
      <c r="Z90" s="4"/>
      <c r="AA90" s="4">
        <v>1</v>
      </c>
      <c r="AB90" s="4"/>
      <c r="AC90" s="4">
        <v>1</v>
      </c>
      <c r="AD90" s="4"/>
      <c r="AE90" s="4"/>
      <c r="AF90" s="4"/>
      <c r="AG90" s="4"/>
      <c r="AH90" s="4"/>
      <c r="AI90" s="4">
        <v>1</v>
      </c>
      <c r="AJ90" s="4"/>
      <c r="AK90" s="4"/>
      <c r="AL90" s="4"/>
      <c r="AM90" s="4"/>
      <c r="AN90" s="4"/>
      <c r="AO90" s="4"/>
      <c r="AP90" s="4">
        <f>SUM(L90:AO90)</f>
        <v>5</v>
      </c>
    </row>
    <row r="91" spans="1:42" ht="30" customHeight="1" x14ac:dyDescent="0.25">
      <c r="A91" s="4" t="s">
        <v>616</v>
      </c>
      <c r="B91" s="4" t="s">
        <v>225</v>
      </c>
      <c r="C91" s="4" t="s">
        <v>226</v>
      </c>
      <c r="D91" s="4" t="s">
        <v>617</v>
      </c>
      <c r="E91" s="4" t="s">
        <v>618</v>
      </c>
      <c r="F91" s="4" t="s">
        <v>619</v>
      </c>
      <c r="G91" s="4" t="s">
        <v>230</v>
      </c>
      <c r="H91" s="4" t="s">
        <v>620</v>
      </c>
      <c r="I91" s="4">
        <v>181</v>
      </c>
      <c r="J91" s="4">
        <v>203</v>
      </c>
      <c r="K91" s="4">
        <f t="shared" si="5"/>
        <v>22</v>
      </c>
      <c r="L91" s="4"/>
      <c r="M91" s="4">
        <v>1</v>
      </c>
      <c r="N91" s="4">
        <v>1</v>
      </c>
      <c r="O91" s="4"/>
      <c r="P91" s="4"/>
      <c r="Q91" s="4">
        <v>1</v>
      </c>
      <c r="R91" s="4"/>
      <c r="S91" s="4"/>
      <c r="T91" s="4"/>
      <c r="U91" s="4"/>
      <c r="V91" s="4"/>
      <c r="W91" s="4"/>
      <c r="X91" s="4"/>
      <c r="Y91" s="4"/>
      <c r="Z91" s="4"/>
      <c r="AA91" s="4">
        <v>1</v>
      </c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>
        <f>SUM(L91:AN91)</f>
        <v>4</v>
      </c>
    </row>
    <row r="92" spans="1:42" ht="45" customHeight="1" x14ac:dyDescent="0.25">
      <c r="A92" s="4" t="s">
        <v>621</v>
      </c>
      <c r="B92" s="4" t="s">
        <v>622</v>
      </c>
      <c r="C92" s="4" t="s">
        <v>91</v>
      </c>
      <c r="D92" s="4" t="s">
        <v>623</v>
      </c>
      <c r="E92" s="4" t="s">
        <v>624</v>
      </c>
      <c r="F92" s="4" t="s">
        <v>625</v>
      </c>
      <c r="G92" s="4" t="s">
        <v>35</v>
      </c>
      <c r="H92" s="4" t="s">
        <v>626</v>
      </c>
      <c r="I92" s="4">
        <v>1381</v>
      </c>
      <c r="J92" s="4">
        <v>1457</v>
      </c>
      <c r="K92" s="4">
        <f t="shared" si="5"/>
        <v>76</v>
      </c>
      <c r="L92" s="4"/>
      <c r="M92" s="4"/>
      <c r="N92" s="4"/>
      <c r="O92" s="4"/>
      <c r="P92" s="4">
        <v>1</v>
      </c>
      <c r="Q92" s="4">
        <v>1</v>
      </c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>
        <v>1</v>
      </c>
      <c r="AD92" s="4">
        <v>1</v>
      </c>
      <c r="AE92" s="4"/>
      <c r="AF92" s="4"/>
      <c r="AG92" s="4"/>
      <c r="AH92" s="4"/>
      <c r="AI92" s="4">
        <v>1</v>
      </c>
      <c r="AJ92" s="4"/>
      <c r="AK92" s="4"/>
      <c r="AL92" s="4"/>
      <c r="AM92" s="4"/>
      <c r="AN92" s="4"/>
      <c r="AO92" s="4"/>
      <c r="AP92" s="4">
        <f>SUM(L92:AO92)</f>
        <v>5</v>
      </c>
    </row>
    <row r="93" spans="1:42" ht="30" customHeight="1" x14ac:dyDescent="0.25">
      <c r="A93" s="4" t="s">
        <v>627</v>
      </c>
      <c r="B93" s="4" t="s">
        <v>628</v>
      </c>
      <c r="C93" s="4" t="s">
        <v>149</v>
      </c>
      <c r="D93" s="4" t="s">
        <v>629</v>
      </c>
      <c r="E93" s="4" t="s">
        <v>630</v>
      </c>
      <c r="F93" s="4" t="s">
        <v>631</v>
      </c>
      <c r="G93" s="4" t="s">
        <v>95</v>
      </c>
      <c r="H93" s="4" t="s">
        <v>632</v>
      </c>
      <c r="I93" s="4">
        <v>1295</v>
      </c>
      <c r="J93" s="4">
        <v>1327</v>
      </c>
      <c r="K93" s="4">
        <f t="shared" si="5"/>
        <v>32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>
        <v>1</v>
      </c>
      <c r="AB93" s="4"/>
      <c r="AC93" s="4"/>
      <c r="AD93" s="4"/>
      <c r="AE93" s="4"/>
      <c r="AF93" s="4"/>
      <c r="AG93" s="4"/>
      <c r="AH93" s="4">
        <v>1</v>
      </c>
      <c r="AI93" s="4"/>
      <c r="AJ93" s="4">
        <v>1</v>
      </c>
      <c r="AK93" s="4"/>
      <c r="AL93" s="4"/>
      <c r="AM93" s="4"/>
      <c r="AN93" s="4"/>
      <c r="AO93" s="4"/>
      <c r="AP93" s="4">
        <f>SUM(L93:AN93)</f>
        <v>3</v>
      </c>
    </row>
    <row r="94" spans="1:42" ht="45" customHeight="1" x14ac:dyDescent="0.25">
      <c r="A94" s="4" t="s">
        <v>633</v>
      </c>
      <c r="B94" s="4" t="s">
        <v>540</v>
      </c>
      <c r="C94" s="4" t="s">
        <v>541</v>
      </c>
      <c r="D94" s="4" t="s">
        <v>634</v>
      </c>
      <c r="E94" s="4" t="s">
        <v>635</v>
      </c>
      <c r="F94" s="4" t="s">
        <v>636</v>
      </c>
      <c r="G94" s="4" t="s">
        <v>482</v>
      </c>
      <c r="H94" s="4" t="s">
        <v>637</v>
      </c>
      <c r="I94" s="4">
        <v>1586</v>
      </c>
      <c r="J94" s="4">
        <v>1617</v>
      </c>
      <c r="K94" s="4">
        <f t="shared" si="5"/>
        <v>31</v>
      </c>
      <c r="L94" s="4"/>
      <c r="M94" s="4"/>
      <c r="N94" s="4">
        <v>1</v>
      </c>
      <c r="O94" s="4"/>
      <c r="P94" s="4"/>
      <c r="Q94" s="4"/>
      <c r="R94" s="4">
        <v>1</v>
      </c>
      <c r="S94" s="4"/>
      <c r="T94" s="4"/>
      <c r="U94" s="4"/>
      <c r="V94" s="4"/>
      <c r="W94" s="4"/>
      <c r="X94" s="4"/>
      <c r="Y94" s="4"/>
      <c r="Z94" s="4"/>
      <c r="AA94" s="4"/>
      <c r="AB94" s="4"/>
      <c r="AC94" s="4">
        <v>1</v>
      </c>
      <c r="AD94" s="4"/>
      <c r="AE94" s="4"/>
      <c r="AF94" s="4"/>
      <c r="AG94" s="4"/>
      <c r="AH94" s="4"/>
      <c r="AI94" s="4">
        <v>1</v>
      </c>
      <c r="AJ94" s="4"/>
      <c r="AK94" s="4"/>
      <c r="AL94" s="4"/>
      <c r="AM94" s="4"/>
      <c r="AN94" s="4">
        <v>1</v>
      </c>
      <c r="AO94" s="4"/>
      <c r="AP94" s="4">
        <f>SUM(L94:AO94)</f>
        <v>5</v>
      </c>
    </row>
    <row r="95" spans="1:42" ht="30" customHeight="1" x14ac:dyDescent="0.25">
      <c r="A95" s="4" t="s">
        <v>638</v>
      </c>
      <c r="B95" s="4" t="s">
        <v>639</v>
      </c>
      <c r="C95" s="4" t="s">
        <v>149</v>
      </c>
      <c r="D95" s="4" t="s">
        <v>640</v>
      </c>
      <c r="E95" s="4" t="s">
        <v>641</v>
      </c>
      <c r="F95" s="4" t="s">
        <v>642</v>
      </c>
      <c r="G95" s="4" t="s">
        <v>23</v>
      </c>
      <c r="H95" s="4" t="s">
        <v>643</v>
      </c>
      <c r="I95" s="4">
        <v>256</v>
      </c>
      <c r="J95" s="4">
        <v>288</v>
      </c>
      <c r="K95" s="4">
        <f t="shared" si="5"/>
        <v>32</v>
      </c>
      <c r="L95" s="4"/>
      <c r="M95" s="4">
        <v>1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>
        <v>1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>
        <f>SUM(L95:AN95)</f>
        <v>2</v>
      </c>
    </row>
    <row r="96" spans="1:42" ht="45" customHeight="1" x14ac:dyDescent="0.25">
      <c r="A96" s="4" t="s">
        <v>644</v>
      </c>
      <c r="B96" s="4" t="s">
        <v>645</v>
      </c>
      <c r="C96" s="4" t="s">
        <v>262</v>
      </c>
      <c r="D96" s="4" t="s">
        <v>646</v>
      </c>
      <c r="E96" s="4" t="s">
        <v>647</v>
      </c>
      <c r="F96" s="4" t="s">
        <v>648</v>
      </c>
      <c r="G96" s="4" t="s">
        <v>649</v>
      </c>
      <c r="H96" s="4" t="s">
        <v>650</v>
      </c>
      <c r="I96" s="4">
        <v>1515</v>
      </c>
      <c r="J96" s="4">
        <v>1582</v>
      </c>
      <c r="K96" s="4">
        <f t="shared" si="5"/>
        <v>67</v>
      </c>
      <c r="L96" s="4"/>
      <c r="M96" s="4"/>
      <c r="N96" s="4"/>
      <c r="O96" s="4">
        <v>1</v>
      </c>
      <c r="P96" s="4"/>
      <c r="Q96" s="4">
        <v>1</v>
      </c>
      <c r="R96" s="4"/>
      <c r="S96" s="4"/>
      <c r="T96" s="4"/>
      <c r="U96" s="4">
        <v>1</v>
      </c>
      <c r="V96" s="4"/>
      <c r="W96" s="4"/>
      <c r="X96" s="4"/>
      <c r="Y96" s="4"/>
      <c r="Z96" s="4"/>
      <c r="AA96" s="4"/>
      <c r="AB96" s="4"/>
      <c r="AC96" s="4"/>
      <c r="AD96" s="4">
        <v>1</v>
      </c>
      <c r="AE96" s="4"/>
      <c r="AF96" s="4"/>
      <c r="AG96" s="4"/>
      <c r="AH96" s="4"/>
      <c r="AI96" s="4"/>
      <c r="AJ96" s="4"/>
      <c r="AK96" s="4"/>
      <c r="AL96" s="4"/>
      <c r="AM96" s="4"/>
      <c r="AN96" s="4">
        <v>1</v>
      </c>
      <c r="AO96" s="4"/>
      <c r="AP96" s="4">
        <f>SUM(L96:AO96)</f>
        <v>5</v>
      </c>
    </row>
    <row r="97" spans="1:42" ht="45" customHeight="1" x14ac:dyDescent="0.25">
      <c r="A97" s="4" t="s">
        <v>651</v>
      </c>
      <c r="B97" s="4" t="s">
        <v>652</v>
      </c>
      <c r="C97" s="4" t="s">
        <v>653</v>
      </c>
      <c r="D97" s="4" t="s">
        <v>654</v>
      </c>
      <c r="E97" s="4" t="s">
        <v>655</v>
      </c>
      <c r="F97" s="4" t="s">
        <v>656</v>
      </c>
      <c r="G97" s="4" t="s">
        <v>95</v>
      </c>
      <c r="H97" s="4" t="s">
        <v>657</v>
      </c>
      <c r="I97" s="4">
        <v>1910</v>
      </c>
      <c r="J97" s="4">
        <v>1997</v>
      </c>
      <c r="K97" s="4">
        <f t="shared" si="5"/>
        <v>87</v>
      </c>
      <c r="L97" s="4"/>
      <c r="M97" s="4">
        <v>1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>
        <v>1</v>
      </c>
      <c r="AB97" s="4"/>
      <c r="AC97" s="4"/>
      <c r="AD97" s="4"/>
      <c r="AE97" s="4"/>
      <c r="AF97" s="4"/>
      <c r="AG97" s="4"/>
      <c r="AH97" s="4"/>
      <c r="AI97" s="4">
        <v>1</v>
      </c>
      <c r="AJ97" s="4">
        <v>1</v>
      </c>
      <c r="AK97" s="4"/>
      <c r="AL97" s="4"/>
      <c r="AM97" s="4"/>
      <c r="AN97" s="4"/>
      <c r="AO97" s="4"/>
      <c r="AP97" s="4">
        <f>SUM(L97:AO97)</f>
        <v>4</v>
      </c>
    </row>
    <row r="98" spans="1:42" ht="45" customHeight="1" x14ac:dyDescent="0.25">
      <c r="A98" s="4" t="s">
        <v>658</v>
      </c>
      <c r="B98" s="4" t="s">
        <v>659</v>
      </c>
      <c r="C98" s="4" t="s">
        <v>149</v>
      </c>
      <c r="D98" s="4" t="s">
        <v>660</v>
      </c>
      <c r="E98" s="4" t="s">
        <v>661</v>
      </c>
      <c r="F98" s="4" t="s">
        <v>662</v>
      </c>
      <c r="G98" s="4" t="s">
        <v>24</v>
      </c>
      <c r="H98" s="4" t="s">
        <v>663</v>
      </c>
      <c r="I98" s="4">
        <v>1873</v>
      </c>
      <c r="J98" s="4">
        <v>1897</v>
      </c>
      <c r="K98" s="4">
        <f t="shared" si="5"/>
        <v>24</v>
      </c>
      <c r="L98" s="4"/>
      <c r="M98" s="4"/>
      <c r="N98" s="4">
        <v>1</v>
      </c>
      <c r="O98" s="4"/>
      <c r="P98" s="4"/>
      <c r="Q98" s="4">
        <v>1</v>
      </c>
      <c r="R98" s="4"/>
      <c r="S98" s="4"/>
      <c r="T98" s="4"/>
      <c r="U98" s="4"/>
      <c r="V98" s="4"/>
      <c r="W98" s="4"/>
      <c r="X98" s="4"/>
      <c r="Y98" s="4"/>
      <c r="Z98" s="4"/>
      <c r="AA98" s="4">
        <v>1</v>
      </c>
      <c r="AB98" s="4"/>
      <c r="AC98" s="4"/>
      <c r="AD98" s="4"/>
      <c r="AE98" s="4">
        <v>1</v>
      </c>
      <c r="AF98" s="4"/>
      <c r="AG98" s="4"/>
      <c r="AH98" s="4"/>
      <c r="AI98" s="4">
        <v>1</v>
      </c>
      <c r="AJ98" s="4"/>
      <c r="AK98" s="4"/>
      <c r="AL98" s="4"/>
      <c r="AM98" s="4"/>
      <c r="AN98" s="4"/>
      <c r="AO98" s="4"/>
      <c r="AP98" s="4">
        <f>SUM(L98:AO98)</f>
        <v>5</v>
      </c>
    </row>
    <row r="99" spans="1:42" ht="45" customHeight="1" x14ac:dyDescent="0.25">
      <c r="A99" s="4" t="s">
        <v>664</v>
      </c>
      <c r="B99" s="4" t="s">
        <v>665</v>
      </c>
      <c r="C99" s="4" t="s">
        <v>91</v>
      </c>
      <c r="D99" s="4" t="s">
        <v>666</v>
      </c>
      <c r="E99" s="4" t="s">
        <v>667</v>
      </c>
      <c r="F99" s="4" t="s">
        <v>668</v>
      </c>
      <c r="G99" s="4" t="s">
        <v>42</v>
      </c>
      <c r="H99" s="4" t="s">
        <v>669</v>
      </c>
      <c r="I99" s="4">
        <v>1225</v>
      </c>
      <c r="J99" s="4">
        <v>1274</v>
      </c>
      <c r="K99" s="4">
        <f t="shared" ref="K99:K130" si="6">IF(AND(ISNUMBER(I99),ISNUMBER(J99)),J99-I99,"")</f>
        <v>49</v>
      </c>
      <c r="L99" s="4"/>
      <c r="M99" s="4">
        <v>1</v>
      </c>
      <c r="N99" s="4"/>
      <c r="O99" s="4"/>
      <c r="P99" s="4"/>
      <c r="Q99" s="4"/>
      <c r="R99" s="4"/>
      <c r="S99" s="4">
        <v>1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>
        <v>1</v>
      </c>
      <c r="AE99" s="4"/>
      <c r="AF99" s="4"/>
      <c r="AG99" s="4"/>
      <c r="AH99" s="4"/>
      <c r="AI99" s="4">
        <v>1</v>
      </c>
      <c r="AJ99" s="4"/>
      <c r="AK99" s="4"/>
      <c r="AL99" s="4"/>
      <c r="AM99" s="4"/>
      <c r="AN99" s="4">
        <v>1</v>
      </c>
      <c r="AO99" s="4"/>
      <c r="AP99" s="4">
        <f>SUM(L99:AO99)</f>
        <v>5</v>
      </c>
    </row>
    <row r="100" spans="1:42" ht="30" customHeight="1" x14ac:dyDescent="0.25">
      <c r="A100" s="4" t="s">
        <v>670</v>
      </c>
      <c r="B100" s="4" t="s">
        <v>671</v>
      </c>
      <c r="C100" s="4" t="s">
        <v>262</v>
      </c>
      <c r="D100" s="4" t="s">
        <v>672</v>
      </c>
      <c r="E100" s="4" t="s">
        <v>673</v>
      </c>
      <c r="F100" s="4" t="s">
        <v>674</v>
      </c>
      <c r="G100" s="4" t="s">
        <v>95</v>
      </c>
      <c r="H100" s="4" t="s">
        <v>675</v>
      </c>
      <c r="I100" s="4">
        <v>1847</v>
      </c>
      <c r="J100" s="4">
        <v>1890</v>
      </c>
      <c r="K100" s="4">
        <f t="shared" si="6"/>
        <v>43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>
        <v>1</v>
      </c>
      <c r="AB100" s="4"/>
      <c r="AC100" s="4">
        <v>1</v>
      </c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>
        <f>SUM(L100:AN100)</f>
        <v>2</v>
      </c>
    </row>
    <row r="101" spans="1:42" ht="45" customHeight="1" x14ac:dyDescent="0.25">
      <c r="A101" s="4" t="s">
        <v>676</v>
      </c>
      <c r="B101" s="4" t="s">
        <v>677</v>
      </c>
      <c r="C101" s="4" t="s">
        <v>149</v>
      </c>
      <c r="D101" s="4" t="s">
        <v>678</v>
      </c>
      <c r="E101" s="4" t="s">
        <v>679</v>
      </c>
      <c r="F101" s="4" t="s">
        <v>680</v>
      </c>
      <c r="G101" s="4" t="s">
        <v>37</v>
      </c>
      <c r="H101" s="4" t="s">
        <v>681</v>
      </c>
      <c r="I101" s="4">
        <v>1581</v>
      </c>
      <c r="J101" s="4">
        <v>1660</v>
      </c>
      <c r="K101" s="4">
        <f t="shared" si="6"/>
        <v>79</v>
      </c>
      <c r="L101" s="4"/>
      <c r="M101" s="4">
        <v>1</v>
      </c>
      <c r="N101" s="4"/>
      <c r="O101" s="4"/>
      <c r="P101" s="4"/>
      <c r="Q101" s="4">
        <v>1</v>
      </c>
      <c r="R101" s="4"/>
      <c r="S101" s="4"/>
      <c r="T101" s="4"/>
      <c r="U101" s="4">
        <v>1</v>
      </c>
      <c r="V101" s="4"/>
      <c r="W101" s="4"/>
      <c r="X101" s="4"/>
      <c r="Y101" s="4"/>
      <c r="Z101" s="4"/>
      <c r="AA101" s="4">
        <v>1</v>
      </c>
      <c r="AB101" s="4"/>
      <c r="AC101" s="4"/>
      <c r="AD101" s="4"/>
      <c r="AE101" s="4"/>
      <c r="AF101" s="4"/>
      <c r="AG101" s="4"/>
      <c r="AH101" s="4"/>
      <c r="AI101" s="4">
        <v>1</v>
      </c>
      <c r="AJ101" s="4"/>
      <c r="AK101" s="4"/>
      <c r="AL101" s="4"/>
      <c r="AM101" s="4"/>
      <c r="AN101" s="4"/>
      <c r="AO101" s="4"/>
      <c r="AP101" s="4">
        <f>SUM(L101:AO101)</f>
        <v>5</v>
      </c>
    </row>
    <row r="102" spans="1:42" ht="30" customHeight="1" x14ac:dyDescent="0.25">
      <c r="A102" s="4" t="s">
        <v>682</v>
      </c>
      <c r="B102" s="4" t="s">
        <v>683</v>
      </c>
      <c r="C102" s="4" t="s">
        <v>91</v>
      </c>
      <c r="D102" s="4" t="s">
        <v>684</v>
      </c>
      <c r="E102" s="4" t="s">
        <v>685</v>
      </c>
      <c r="F102" s="4" t="s">
        <v>686</v>
      </c>
      <c r="G102" s="4" t="s">
        <v>45</v>
      </c>
      <c r="H102" s="4" t="s">
        <v>687</v>
      </c>
      <c r="I102" s="4">
        <v>1212</v>
      </c>
      <c r="J102" s="4">
        <v>1272</v>
      </c>
      <c r="K102" s="4">
        <f t="shared" si="6"/>
        <v>60</v>
      </c>
      <c r="L102" s="4"/>
      <c r="M102" s="4"/>
      <c r="N102" s="4"/>
      <c r="O102" s="4"/>
      <c r="P102" s="4"/>
      <c r="Q102" s="4"/>
      <c r="R102" s="4"/>
      <c r="S102" s="4">
        <v>1</v>
      </c>
      <c r="T102" s="4"/>
      <c r="U102" s="4"/>
      <c r="V102" s="4"/>
      <c r="W102" s="4"/>
      <c r="X102" s="4"/>
      <c r="Y102" s="4"/>
      <c r="Z102" s="4"/>
      <c r="AA102" s="4"/>
      <c r="AB102" s="4"/>
      <c r="AC102" s="4">
        <v>1</v>
      </c>
      <c r="AD102" s="4"/>
      <c r="AE102" s="4"/>
      <c r="AF102" s="4"/>
      <c r="AG102" s="4"/>
      <c r="AH102" s="4"/>
      <c r="AI102" s="4">
        <v>1</v>
      </c>
      <c r="AJ102" s="4"/>
      <c r="AK102" s="4"/>
      <c r="AL102" s="4"/>
      <c r="AM102" s="4"/>
      <c r="AN102" s="4"/>
      <c r="AO102" s="4"/>
      <c r="AP102" s="4">
        <f>SUM(L102:AN102)</f>
        <v>3</v>
      </c>
    </row>
    <row r="103" spans="1:42" x14ac:dyDescent="0.25">
      <c r="L103" s="17">
        <f>SUM(L3:L102)</f>
        <v>8</v>
      </c>
      <c r="M103" s="17">
        <f t="shared" ref="M103:AP103" si="7">SUM(M3:M102)</f>
        <v>43</v>
      </c>
      <c r="N103" s="17">
        <f t="shared" si="7"/>
        <v>33</v>
      </c>
      <c r="O103" s="17">
        <f t="shared" si="7"/>
        <v>5</v>
      </c>
      <c r="P103" s="17">
        <f t="shared" si="7"/>
        <v>2</v>
      </c>
      <c r="Q103" s="17">
        <f t="shared" si="7"/>
        <v>40</v>
      </c>
      <c r="R103" s="17">
        <f t="shared" si="7"/>
        <v>7</v>
      </c>
      <c r="S103" s="17">
        <f t="shared" si="7"/>
        <v>11</v>
      </c>
      <c r="T103" s="17">
        <f t="shared" si="7"/>
        <v>2</v>
      </c>
      <c r="U103" s="17">
        <f t="shared" si="7"/>
        <v>40</v>
      </c>
      <c r="V103" s="17">
        <f t="shared" si="7"/>
        <v>5</v>
      </c>
      <c r="W103" s="17">
        <f t="shared" si="7"/>
        <v>1</v>
      </c>
      <c r="X103" s="17">
        <f t="shared" si="7"/>
        <v>1</v>
      </c>
      <c r="Y103" s="17">
        <f t="shared" si="7"/>
        <v>3</v>
      </c>
      <c r="Z103" s="17">
        <f t="shared" si="7"/>
        <v>2</v>
      </c>
      <c r="AA103" s="17">
        <f t="shared" si="7"/>
        <v>28</v>
      </c>
      <c r="AB103" s="17">
        <f t="shared" si="7"/>
        <v>5</v>
      </c>
      <c r="AC103" s="17">
        <f t="shared" si="7"/>
        <v>46</v>
      </c>
      <c r="AD103" s="17">
        <f t="shared" si="7"/>
        <v>36</v>
      </c>
      <c r="AE103" s="17">
        <f t="shared" si="7"/>
        <v>11</v>
      </c>
      <c r="AF103" s="17">
        <f t="shared" si="7"/>
        <v>8</v>
      </c>
      <c r="AG103" s="17">
        <f t="shared" si="7"/>
        <v>6</v>
      </c>
      <c r="AH103" s="17">
        <f t="shared" si="7"/>
        <v>3</v>
      </c>
      <c r="AI103" s="17">
        <f t="shared" si="7"/>
        <v>44</v>
      </c>
      <c r="AJ103" s="17">
        <f t="shared" si="7"/>
        <v>7</v>
      </c>
      <c r="AK103" s="17">
        <f t="shared" si="7"/>
        <v>2</v>
      </c>
      <c r="AL103" s="17">
        <f t="shared" si="7"/>
        <v>3</v>
      </c>
      <c r="AM103" s="17">
        <f t="shared" si="7"/>
        <v>4</v>
      </c>
      <c r="AN103" s="17">
        <f t="shared" si="7"/>
        <v>22</v>
      </c>
      <c r="AO103" s="17">
        <f t="shared" si="7"/>
        <v>1</v>
      </c>
      <c r="AP103" s="17">
        <f t="shared" si="7"/>
        <v>428</v>
      </c>
    </row>
  </sheetData>
  <autoFilter ref="A2:AS102" xr:uid="{00000000-0009-0000-0000-000000000000}"/>
  <mergeCells count="11">
    <mergeCell ref="AM1:AO1"/>
    <mergeCell ref="A1:K1"/>
    <mergeCell ref="X1:Z1"/>
    <mergeCell ref="L1:N1"/>
    <mergeCell ref="AD1:AF1"/>
    <mergeCell ref="AA1:AC1"/>
    <mergeCell ref="O1:Q1"/>
    <mergeCell ref="AJ1:AL1"/>
    <mergeCell ref="AG1:AI1"/>
    <mergeCell ref="U1:W1"/>
    <mergeCell ref="R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Santos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Humberto Contreras Ferrer</cp:lastModifiedBy>
  <dcterms:created xsi:type="dcterms:W3CDTF">2026-05-09T22:18:50Z</dcterms:created>
  <dcterms:modified xsi:type="dcterms:W3CDTF">2026-05-10T00:08:45Z</dcterms:modified>
</cp:coreProperties>
</file>